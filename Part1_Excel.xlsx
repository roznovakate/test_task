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zno\Downloads\Тестовое\"/>
    </mc:Choice>
  </mc:AlternateContent>
  <xr:revisionPtr revIDLastSave="0" documentId="8_{4B8FBF2D-B9C8-45BA-97A8-7142C72E043D}" xr6:coauthVersionLast="47" xr6:coauthVersionMax="47" xr10:uidLastSave="{00000000-0000-0000-0000-000000000000}"/>
  <bookViews>
    <workbookView xWindow="2661" yWindow="2661" windowWidth="8928" windowHeight="9539" xr2:uid="{D6EB94AB-E4BA-4C74-B8B5-F5955D64B828}"/>
  </bookViews>
  <sheets>
    <sheet name="Комментарии" sheetId="17" r:id="rId1"/>
    <sheet name="analytics" sheetId="16" r:id="rId2"/>
    <sheet name="new and vip customers" sheetId="14" r:id="rId3"/>
    <sheet name="data_mart" sheetId="8" r:id="rId4"/>
    <sheet name="customers" sheetId="2" r:id="rId5"/>
    <sheet name="orderitems" sheetId="3" r:id="rId6"/>
    <sheet name="orders" sheetId="4" r:id="rId7"/>
    <sheet name="products" sheetId="6" r:id="rId8"/>
  </sheets>
  <definedNames>
    <definedName name="ExternalData_1" localSheetId="4" hidden="1">'customers'!$A$1:$E$31</definedName>
    <definedName name="ExternalData_1" localSheetId="3" hidden="1">data_mart!$A$1:$M$41</definedName>
    <definedName name="ExternalData_1" localSheetId="5" hidden="1">orderitems!$A$1:$D$41</definedName>
    <definedName name="ExternalData_1" localSheetId="6" hidden="1">orders!$A$1:$G$41</definedName>
    <definedName name="ExternalData_1" localSheetId="7" hidden="1">products!$A$1:$G$26</definedName>
    <definedName name="ExternalData_2" localSheetId="1" hidden="1">analytics!$D$25:$G$31</definedName>
    <definedName name="ExternalData_2" localSheetId="2" hidden="1">'new and vip customers'!$A$2:$E$11</definedName>
    <definedName name="ExternalData_3" localSheetId="1" hidden="1">analytics!$A$25:$B$30</definedName>
    <definedName name="ExternalData_3" localSheetId="2" hidden="1">'new and vip customers'!$A$14:$E$24</definedName>
  </definedNames>
  <calcPr calcId="179021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2A05C3-8F15-4ADB-A612-50963E1D0C98}" keepAlive="1" name="Запрос — customers" description="Соединение с запросом &quot;customers&quot; в книге." type="5" refreshedVersion="6" background="1" saveData="1">
    <dbPr connection="Provider=Microsoft.Mashup.OleDb.1;Data Source=$Workbook$;Location=customers;Extended Properties=&quot;&quot;" command="SELECT * FROM [customers]"/>
  </connection>
  <connection id="2" xr16:uid="{E6B91361-58F8-4BE8-B380-1CA99092E7FE}" keepAlive="1" name="Запрос — data_mart" description="Соединение с запросом &quot;data_mart&quot; в книге." type="5" refreshedVersion="6" background="1" saveData="1">
    <dbPr connection="Provider=Microsoft.Mashup.OleDb.1;Data Source=$Workbook$;Location=data_mart;Extended Properties=&quot;&quot;" command="SELECT * FROM [data_mart]"/>
  </connection>
  <connection id="3" xr16:uid="{EA4C6908-56BB-4081-B167-F7249B0C41A3}" keepAlive="1" name="Запрос — new_customers" description="Соединение с запросом &quot;new_customers&quot; в книге." type="5" refreshedVersion="6" background="1" saveData="1">
    <dbPr connection="Provider=Microsoft.Mashup.OleDb.1;Data Source=$Workbook$;Location=new_customers;Extended Properties=&quot;&quot;" command="SELECT * FROM [new_customers]"/>
  </connection>
  <connection id="4" xr16:uid="{D11E60F5-44A9-4BB4-96A2-5724512D1B6E}" keepAlive="1" name="Запрос — orderitems" description="Соединение с запросом &quot;orderitems&quot; в книге." type="5" refreshedVersion="6" background="1" saveData="1">
    <dbPr connection="Provider=Microsoft.Mashup.OleDb.1;Data Source=$Workbook$;Location=orderitems;Extended Properties=&quot;&quot;" command="SELECT * FROM [orderitems]"/>
  </connection>
  <connection id="5" xr16:uid="{27710289-5684-4BA3-92E3-7ABDC6F7A944}" keepAlive="1" name="Запрос — orders" description="Соединение с запросом &quot;orders&quot; в книге." type="5" refreshedVersion="6" background="1" saveData="1">
    <dbPr connection="Provider=Microsoft.Mashup.OleDb.1;Data Source=$Workbook$;Location=orders;Extended Properties=&quot;&quot;" command="SELECT * FROM [orders]"/>
  </connection>
  <connection id="6" xr16:uid="{455E3EDB-B950-4652-8678-9FED6969F2B1}" keepAlive="1" name="Запрос — products" description="Соединение с запросом &quot;products&quot; в книге." type="5" refreshedVersion="6" background="1" saveData="1">
    <dbPr connection="Provider=Microsoft.Mashup.OleDb.1;Data Source=$Workbook$;Location=products;Extended Properties=&quot;&quot;" command="SELECT * FROM [products]"/>
  </connection>
  <connection id="7" xr16:uid="{3F8B708B-F400-4AEE-86A9-F276132AEB7C}" keepAlive="1" name="Запрос — sales_category" description="Соединение с запросом &quot;sales_category&quot; в книге." type="5" refreshedVersion="6" background="1" saveData="1">
    <dbPr connection="Provider=Microsoft.Mashup.OleDb.1;Data Source=$Workbook$;Location=sales_category;Extended Properties=&quot;&quot;" command="SELECT * FROM [sales_category]"/>
  </connection>
  <connection id="8" xr16:uid="{FAD64843-15AA-4536-85EB-E02D583068A1}" keepAlive="1" name="Запрос — top5_product" description="Соединение с запросом &quot;top5_product&quot; в книге." type="5" refreshedVersion="6" background="1" saveData="1">
    <dbPr connection="Provider=Microsoft.Mashup.OleDb.1;Data Source=$Workbook$;Location=top5_product;Extended Properties=&quot;&quot;" command="SELECT * FROM [top5_product]"/>
  </connection>
  <connection id="9" xr16:uid="{6DCCD1C1-7328-4A38-B902-5C3E02B9D159}" keepAlive="1" name="Запрос — vip_customers" description="Соединение с запросом &quot;vip_customers&quot; в книге." type="5" refreshedVersion="6" background="1" saveData="1">
    <dbPr connection="Provider=Microsoft.Mashup.OleDb.1;Data Source=$Workbook$;Location=vip_customers;Extended Properties=&quot;&quot;" command="SELECT * FROM [vip_customers]"/>
  </connection>
</connections>
</file>

<file path=xl/sharedStrings.xml><?xml version="1.0" encoding="utf-8"?>
<sst xmlns="http://schemas.openxmlformats.org/spreadsheetml/2006/main" count="879" uniqueCount="260">
  <si>
    <t>CustomerID</t>
  </si>
  <si>
    <t>CustomerName</t>
  </si>
  <si>
    <t>CustomerSegment</t>
  </si>
  <si>
    <t>JoinDate</t>
  </si>
  <si>
    <t>Email</t>
  </si>
  <si>
    <t>C001</t>
  </si>
  <si>
    <t>Иванов А.</t>
  </si>
  <si>
    <t>VIP</t>
  </si>
  <si>
    <t>ivanov@mail.com</t>
  </si>
  <si>
    <t>C002</t>
  </si>
  <si>
    <t>Петрова С.</t>
  </si>
  <si>
    <t>Стандарт</t>
  </si>
  <si>
    <t>petrova@mail.com</t>
  </si>
  <si>
    <t>C003</t>
  </si>
  <si>
    <t>Сидоров В.</t>
  </si>
  <si>
    <t>Новый</t>
  </si>
  <si>
    <t>sidorov@mail.com</t>
  </si>
  <si>
    <t>C004</t>
  </si>
  <si>
    <t>Козлова Е.</t>
  </si>
  <si>
    <t>kozlova@mail.com</t>
  </si>
  <si>
    <t>C005</t>
  </si>
  <si>
    <t>Морозов Д.</t>
  </si>
  <si>
    <t>morozov@mail.com</t>
  </si>
  <si>
    <t>C006</t>
  </si>
  <si>
    <t>Новикова А.</t>
  </si>
  <si>
    <t>novikova@mail.com</t>
  </si>
  <si>
    <t>C007</t>
  </si>
  <si>
    <t>Лебедев И.</t>
  </si>
  <si>
    <t>lebedev@mail.com</t>
  </si>
  <si>
    <t>C008</t>
  </si>
  <si>
    <t>Смирнова О.</t>
  </si>
  <si>
    <t>smirnova@mail.com</t>
  </si>
  <si>
    <t>C009</t>
  </si>
  <si>
    <t>Васильев П.</t>
  </si>
  <si>
    <t>vasilev@mail.com</t>
  </si>
  <si>
    <t>C010</t>
  </si>
  <si>
    <t>Иванова Т.</t>
  </si>
  <si>
    <t>ivanova@mail.com</t>
  </si>
  <si>
    <t>C011</t>
  </si>
  <si>
    <t>Кузнецов М.</t>
  </si>
  <si>
    <t>kuznetsov@mail.com</t>
  </si>
  <si>
    <t>C012</t>
  </si>
  <si>
    <t>Попова Л.</t>
  </si>
  <si>
    <t>popova@mail.com</t>
  </si>
  <si>
    <t>C013</t>
  </si>
  <si>
    <t>Соколов Н.</t>
  </si>
  <si>
    <t>sokolov@mail.com</t>
  </si>
  <si>
    <t>C014</t>
  </si>
  <si>
    <t>Федорова К.</t>
  </si>
  <si>
    <t>fedorova@mail.com</t>
  </si>
  <si>
    <t>C015</t>
  </si>
  <si>
    <t>Никитин Д.</t>
  </si>
  <si>
    <t>nikitin@mail.com</t>
  </si>
  <si>
    <t>C016</t>
  </si>
  <si>
    <t>Павлова М.</t>
  </si>
  <si>
    <t>pavlova@mail.com</t>
  </si>
  <si>
    <t>C017</t>
  </si>
  <si>
    <t>Громов А.</t>
  </si>
  <si>
    <t>gromov@mail.com</t>
  </si>
  <si>
    <t>C018</t>
  </si>
  <si>
    <t>Тихонова В.</t>
  </si>
  <si>
    <t>tikhonova@mail.com</t>
  </si>
  <si>
    <t>C019</t>
  </si>
  <si>
    <t>Белов С.</t>
  </si>
  <si>
    <t>belov@mail.com</t>
  </si>
  <si>
    <t>C020</t>
  </si>
  <si>
    <t>Крылова Е.</t>
  </si>
  <si>
    <t>krylova@mail.com</t>
  </si>
  <si>
    <t>C021</t>
  </si>
  <si>
    <t>Максимов П.</t>
  </si>
  <si>
    <t>maximov@mail.com</t>
  </si>
  <si>
    <t>C022</t>
  </si>
  <si>
    <t>Орлова А.</t>
  </si>
  <si>
    <t>orlova@mail.com</t>
  </si>
  <si>
    <t>C023</t>
  </si>
  <si>
    <t>Егоров И.</t>
  </si>
  <si>
    <t>egorov@mail.com</t>
  </si>
  <si>
    <t>C024</t>
  </si>
  <si>
    <t>Зайцева О.</t>
  </si>
  <si>
    <t>zaitseva@mail.com</t>
  </si>
  <si>
    <t>C025</t>
  </si>
  <si>
    <t>Воронов Д.</t>
  </si>
  <si>
    <t>voronov@mail.com</t>
  </si>
  <si>
    <t>C026</t>
  </si>
  <si>
    <t>Антонова Н.</t>
  </si>
  <si>
    <t>antonova@mail.com</t>
  </si>
  <si>
    <t>C027</t>
  </si>
  <si>
    <t>Гусев М.</t>
  </si>
  <si>
    <t>gusev@mail.com</t>
  </si>
  <si>
    <t>C028</t>
  </si>
  <si>
    <t>Сорокина Л.</t>
  </si>
  <si>
    <t>sorokina@mail.com</t>
  </si>
  <si>
    <t>C029</t>
  </si>
  <si>
    <t>Тарасов В.</t>
  </si>
  <si>
    <t>tarasov@mail.com</t>
  </si>
  <si>
    <t>C030</t>
  </si>
  <si>
    <t>Михайлова Е.</t>
  </si>
  <si>
    <t>mikhailova@mail.com</t>
  </si>
  <si>
    <t>OrderID</t>
  </si>
  <si>
    <t>ProductID</t>
  </si>
  <si>
    <t>Quantity</t>
  </si>
  <si>
    <t>Discount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</si>
  <si>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</si>
  <si>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</si>
  <si>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</si>
  <si>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</si>
  <si>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</si>
  <si>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</si>
  <si>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</si>
  <si>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</si>
  <si>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</si>
  <si>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</si>
  <si>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</si>
  <si>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</si>
  <si>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</si>
  <si>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</si>
  <si>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</si>
  <si>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</si>
  <si>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</si>
  <si>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</si>
  <si>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</si>
  <si>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</si>
  <si>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</si>
  <si>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</si>
  <si>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</si>
  <si>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</si>
  <si>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</si>
  <si>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OrderDate</t>
  </si>
  <si>
    <t>Region</t>
  </si>
  <si>
    <t>City</t>
  </si>
  <si>
    <t>DeliveryCost</t>
  </si>
  <si>
    <t>Returned</t>
  </si>
  <si>
    <t>Москва</t>
  </si>
  <si>
    <t>Нет</t>
  </si>
  <si>
    <t>Санкт-Петербург</t>
  </si>
  <si>
    <t>Да</t>
  </si>
  <si>
    <t>Казань</t>
  </si>
  <si>
    <t>Екатеринбург</t>
  </si>
  <si>
    <t>Новосибирск</t>
  </si>
  <si>
    <t>Краснодар</t>
  </si>
  <si>
    <t>Владивосток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</si>
  <si>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</si>
  <si>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</si>
  <si>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</si>
  <si>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</si>
  <si>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</si>
  <si>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</si>
  <si>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</si>
  <si>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</si>
  <si>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</si>
  <si>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</si>
  <si>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Product</t>
  </si>
  <si>
    <t>Category</t>
  </si>
  <si>
    <t>SubCategory</t>
  </si>
  <si>
    <t>Price</t>
  </si>
  <si>
    <t>Weight</t>
  </si>
  <si>
    <t>InStock</t>
  </si>
  <si>
    <t>Ноутбук</t>
  </si>
  <si>
    <t>Техника</t>
  </si>
  <si>
    <t>Ноутбуки</t>
  </si>
  <si>
    <t>2.1</t>
  </si>
  <si>
    <t>Смартфон</t>
  </si>
  <si>
    <t>Смартфоны</t>
  </si>
  <si>
    <t>0.3</t>
  </si>
  <si>
    <t>Книга</t>
  </si>
  <si>
    <t>Книги</t>
  </si>
  <si>
    <t>Художественные</t>
  </si>
  <si>
    <t>0.5</t>
  </si>
  <si>
    <t>Наушники</t>
  </si>
  <si>
    <t>Аудио</t>
  </si>
  <si>
    <t>0.2</t>
  </si>
  <si>
    <t>Кружка</t>
  </si>
  <si>
    <t>Товары для дома</t>
  </si>
  <si>
    <t>Посуда</t>
  </si>
  <si>
    <t>0.4</t>
  </si>
  <si>
    <t>Планшет</t>
  </si>
  <si>
    <t>Планшеты</t>
  </si>
  <si>
    <t>0.6</t>
  </si>
  <si>
    <t>Футболка</t>
  </si>
  <si>
    <t>Одежда</t>
  </si>
  <si>
    <t>Мужская</t>
  </si>
  <si>
    <t>Стул</t>
  </si>
  <si>
    <t>Мебель</t>
  </si>
  <si>
    <t>Офисная</t>
  </si>
  <si>
    <t>5.0</t>
  </si>
  <si>
    <t>Монитор</t>
  </si>
  <si>
    <t>Мониторы</t>
  </si>
  <si>
    <t>3.5</t>
  </si>
  <si>
    <t>Клавиатура</t>
  </si>
  <si>
    <t>Аксессуары</t>
  </si>
  <si>
    <t>0.8</t>
  </si>
  <si>
    <t>Мышь</t>
  </si>
  <si>
    <t>0.1</t>
  </si>
  <si>
    <t>Рюкзак</t>
  </si>
  <si>
    <t>Сумки</t>
  </si>
  <si>
    <t>0.7</t>
  </si>
  <si>
    <t>Часы</t>
  </si>
  <si>
    <t>Гаджеты</t>
  </si>
  <si>
    <t>Принтер</t>
  </si>
  <si>
    <t>Офис</t>
  </si>
  <si>
    <t>4.2</t>
  </si>
  <si>
    <t>Кофеварка</t>
  </si>
  <si>
    <t>Для кухни</t>
  </si>
  <si>
    <t>1.8</t>
  </si>
  <si>
    <t>Блендер</t>
  </si>
  <si>
    <t>1.5</t>
  </si>
  <si>
    <t>Плед</t>
  </si>
  <si>
    <t>Текстиль</t>
  </si>
  <si>
    <t>0.9</t>
  </si>
  <si>
    <t>Зонт</t>
  </si>
  <si>
    <t>Для улицы</t>
  </si>
  <si>
    <t>Фен</t>
  </si>
  <si>
    <t>Красота</t>
  </si>
  <si>
    <t>Утюг</t>
  </si>
  <si>
    <t>Для дома</t>
  </si>
  <si>
    <t>1.2</t>
  </si>
  <si>
    <t>Пылесос</t>
  </si>
  <si>
    <t>3.8</t>
  </si>
  <si>
    <t>Миксер</t>
  </si>
  <si>
    <t>1.4</t>
  </si>
  <si>
    <t>Тостер</t>
  </si>
  <si>
    <t>1.1</t>
  </si>
  <si>
    <t>Геймпад</t>
  </si>
  <si>
    <t>Колонка</t>
  </si>
  <si>
    <t>customers.CustomerName</t>
  </si>
  <si>
    <t>orderitems.Quantity</t>
  </si>
  <si>
    <t>orderitems.Discount</t>
  </si>
  <si>
    <t>products.Product</t>
  </si>
  <si>
    <t>products.Category</t>
  </si>
  <si>
    <t>products.Price</t>
  </si>
  <si>
    <t>Revenue</t>
  </si>
  <si>
    <t>AvgRevenue</t>
  </si>
  <si>
    <t>Общий итог</t>
  </si>
  <si>
    <t>SumRevenue</t>
  </si>
  <si>
    <t>CountDistinctClients</t>
  </si>
  <si>
    <t>SumRevenueProduct</t>
  </si>
  <si>
    <t>Продажи по категориям</t>
  </si>
  <si>
    <t>Топ-5 товаров</t>
  </si>
  <si>
    <t>Новые клиенты</t>
  </si>
  <si>
    <t>VIP-клиенты</t>
  </si>
  <si>
    <t>Сумма по полю Revenue</t>
  </si>
  <si>
    <t>MonthOrderDate</t>
  </si>
  <si>
    <t>01 - Январь</t>
  </si>
  <si>
    <t>04 - Апрель</t>
  </si>
  <si>
    <t>02 - Февраль</t>
  </si>
  <si>
    <t>03 - Март</t>
  </si>
  <si>
    <t>05 - Май</t>
  </si>
  <si>
    <t>06 - Июнь</t>
  </si>
  <si>
    <t>07 - Июль</t>
  </si>
  <si>
    <t>Динамика продаж по месяцам</t>
  </si>
  <si>
    <t>Сравнение выручки по регионам</t>
  </si>
  <si>
    <t>Сумма по полю OrderID</t>
  </si>
  <si>
    <t>Комментарии к формуле Revenue</t>
  </si>
  <si>
    <t>Revenue = (Price * Quantity * (1 - Discount)) - DeliveryCost</t>
  </si>
  <si>
    <t>Дополнительные комментарии</t>
  </si>
  <si>
    <t>Комментарий к используемой мною формуле для месяца</t>
  </si>
  <si>
    <t>Date.ToText([OrderDate], "MM - MMMM")</t>
  </si>
  <si>
    <t>1. Price  - это текущая цена, которая берется из справочника, а не цена на момент заказа
2. Revenue не учитывает возраты:</t>
  </si>
  <si>
    <t xml:space="preserve">Для сводной таблицы «Динамика продаж по месяцам» в витрине data_mart месяц для колонки MonthOrderDate извлекала через Date.ToText, чтобы получить красивый формат, а не просто число, как в случае Date.Month, но текст сортируется по алфавиту, поэтому использовала формат «01 - январь», «02 - февраль» и т.д. для календарной сортировки. Год не выводила, т.к. в данных только 2023 год.
</t>
  </si>
  <si>
    <t>1. Нет данных о Customers с id C031-C040, при джойне для этих заказов CustomerName остается пустым.
2. Нет информации о налогах, Revenue в таком случае - это gross-выручка. Кроме налогов, для расчёта прибыли необходимо добавить данные о затратах: себестоимость продуктов, стоимость доставки для компании и т.д.
3. Если бы на одного customer-а приходилось более 1 заказа, было бы корректно также построить Retention Rate. 
4. Каждый заказ также имеет лишь 1 позицию товара, поэтому, например, средний чек = средней выручке по заказу без дополнительной агрегации, но анализ корзины (что покупают вместе) невозможен.
5. Все заказы считаются состоявшимися, т.к. не понятен статус заказа: оформлен, оплачен, доставлен и т.п.
6. Для большего объёма данных наглядной была бы тепловая карта «категория × месяц» для оценки сезонности.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</si>
</sst>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2"/>
      <color rgb="FF0F1115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center" wrapText="1"/>
    </xf>
  </cellXfs>
  <cellStyles count="1">
    <cellStyle name="Обычный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Доля категорий в выручке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analytics!$E$25</c:f>
              <c:strCache>
                <c:ptCount val="1"/>
                <c:pt idx="0">
                  <c:v>SumRevenue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DA-4C61-95C2-57A0FFC56F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DA-4C61-95C2-57A0FFC56F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DA-4C61-95C2-57A0FFC56F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EDA-4C61-95C2-57A0FFC56F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EDA-4C61-95C2-57A0FFC56F2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EDA-4C61-95C2-57A0FFC56F29}"/>
              </c:ext>
            </c:extLst>
          </c:dPt>
          <c:cat>
            <c:strRef>
              <c:f>analytics!$D$26:$D$31</c:f>
              <c:strCache>
                <c:ptCount val="6"/>
                <c:pt idx="0">
                  <c:v>Техника</c:v>
                </c:pt>
                <c:pt idx="1">
                  <c:v>Книги</c:v>
                </c:pt>
                <c:pt idx="2">
                  <c:v>Товары для дома</c:v>
                </c:pt>
                <c:pt idx="3">
                  <c:v>Одежда</c:v>
                </c:pt>
                <c:pt idx="4">
                  <c:v>Мебель</c:v>
                </c:pt>
                <c:pt idx="5">
                  <c:v>Аксессуары</c:v>
                </c:pt>
              </c:strCache>
            </c:strRef>
          </c:cat>
          <c:val>
            <c:numRef>
              <c:f>analytics!$E$26:$E$31</c:f>
              <c:numCache>
                <c:formatCode>General</c:formatCode>
                <c:ptCount val="6"/>
                <c:pt idx="0">
                  <c:v>475060</c:v>
                </c:pt>
                <c:pt idx="1">
                  <c:v>1830</c:v>
                </c:pt>
                <c:pt idx="2">
                  <c:v>7360</c:v>
                </c:pt>
                <c:pt idx="3">
                  <c:v>2780</c:v>
                </c:pt>
                <c:pt idx="4">
                  <c:v>20430</c:v>
                </c:pt>
                <c:pt idx="5">
                  <c:v>23655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B7-47DD-AEB2-E720E3E4F610}"/>
            </c:ext>
          </c:extLst>
        </c:ser>
        <c:ser>
          <c:idx val="1"/>
          <c:order val="1"/>
          <c:tx>
            <c:strRef>
              <c:f>analytics!$F$25</c:f>
              <c:strCache>
                <c:ptCount val="1"/>
                <c:pt idx="0">
                  <c:v>AvgRevenue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EDA-4C61-95C2-57A0FFC56F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EDA-4C61-95C2-57A0FFC56F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EDA-4C61-95C2-57A0FFC56F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EDA-4C61-95C2-57A0FFC56F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EDA-4C61-95C2-57A0FFC56F2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EDA-4C61-95C2-57A0FFC56F29}"/>
              </c:ext>
            </c:extLst>
          </c:dPt>
          <c:cat>
            <c:strRef>
              <c:f>analytics!$D$26:$D$31</c:f>
              <c:strCache>
                <c:ptCount val="6"/>
                <c:pt idx="0">
                  <c:v>Техника</c:v>
                </c:pt>
                <c:pt idx="1">
                  <c:v>Книги</c:v>
                </c:pt>
                <c:pt idx="2">
                  <c:v>Товары для дома</c:v>
                </c:pt>
                <c:pt idx="3">
                  <c:v>Одежда</c:v>
                </c:pt>
                <c:pt idx="4">
                  <c:v>Мебель</c:v>
                </c:pt>
                <c:pt idx="5">
                  <c:v>Аксессуары</c:v>
                </c:pt>
              </c:strCache>
            </c:strRef>
          </c:cat>
          <c:val>
            <c:numRef>
              <c:f>analytics!$F$26:$F$31</c:f>
              <c:numCache>
                <c:formatCode>General</c:formatCode>
                <c:ptCount val="6"/>
                <c:pt idx="0">
                  <c:v>18271.54</c:v>
                </c:pt>
                <c:pt idx="1">
                  <c:v>915</c:v>
                </c:pt>
                <c:pt idx="2">
                  <c:v>2453.33</c:v>
                </c:pt>
                <c:pt idx="3">
                  <c:v>1390</c:v>
                </c:pt>
                <c:pt idx="4">
                  <c:v>10215</c:v>
                </c:pt>
                <c:pt idx="5">
                  <c:v>4731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B7-47DD-AEB2-E720E3E4F610}"/>
            </c:ext>
          </c:extLst>
        </c:ser>
        <c:ser>
          <c:idx val="2"/>
          <c:order val="2"/>
          <c:tx>
            <c:strRef>
              <c:f>analytics!$G$25</c:f>
              <c:strCache>
                <c:ptCount val="1"/>
                <c:pt idx="0">
                  <c:v>CountDistinctClients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EDA-4C61-95C2-57A0FFC56F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EDA-4C61-95C2-57A0FFC56F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EDA-4C61-95C2-57A0FFC56F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EDA-4C61-95C2-57A0FFC56F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EDA-4C61-95C2-57A0FFC56F2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EDA-4C61-95C2-57A0FFC56F29}"/>
              </c:ext>
            </c:extLst>
          </c:dPt>
          <c:cat>
            <c:strRef>
              <c:f>analytics!$D$26:$D$31</c:f>
              <c:strCache>
                <c:ptCount val="6"/>
                <c:pt idx="0">
                  <c:v>Техника</c:v>
                </c:pt>
                <c:pt idx="1">
                  <c:v>Книги</c:v>
                </c:pt>
                <c:pt idx="2">
                  <c:v>Товары для дома</c:v>
                </c:pt>
                <c:pt idx="3">
                  <c:v>Одежда</c:v>
                </c:pt>
                <c:pt idx="4">
                  <c:v>Мебель</c:v>
                </c:pt>
                <c:pt idx="5">
                  <c:v>Аксессуары</c:v>
                </c:pt>
              </c:strCache>
            </c:strRef>
          </c:cat>
          <c:val>
            <c:numRef>
              <c:f>analytics!$G$26:$G$31</c:f>
              <c:numCache>
                <c:formatCode>General</c:formatCode>
                <c:ptCount val="6"/>
                <c:pt idx="0">
                  <c:v>26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B7-47DD-AEB2-E720E3E4F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Топ-5 товаров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analytics!$B$25</c:f>
              <c:strCache>
                <c:ptCount val="1"/>
                <c:pt idx="0">
                  <c:v>SumRevenueProduct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analytics!$A$26:$A$30</c:f>
              <c:strCache>
                <c:ptCount val="5"/>
                <c:pt idx="0">
                  <c:v>Ноутбук</c:v>
                </c:pt>
                <c:pt idx="1">
                  <c:v>Смартфон</c:v>
                </c:pt>
                <c:pt idx="2">
                  <c:v>Планшет</c:v>
                </c:pt>
                <c:pt idx="3">
                  <c:v>Монитор</c:v>
                </c:pt>
                <c:pt idx="4">
                  <c:v>Принтер</c:v>
                </c:pt>
              </c:strCache>
            </c:strRef>
          </c:cat>
          <c:val>
            <c:numRef>
              <c:f>analytics!$B$26:$B$30</c:f>
              <c:numCache>
                <c:formatCode>General</c:formatCode>
                <c:ptCount val="5"/>
                <c:pt idx="0">
                  <c:v>145420</c:v>
                </c:pt>
                <c:pt idx="1">
                  <c:v>120100</c:v>
                </c:pt>
                <c:pt idx="2">
                  <c:v>60060</c:v>
                </c:pt>
                <c:pt idx="3">
                  <c:v>58350</c:v>
                </c:pt>
                <c:pt idx="4">
                  <c:v>28650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F-4AA1-AA00-0B2C46C41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0015583"/>
        <c:axId val="1949817087"/>
      </c:barChart>
      <c:catAx>
        <c:axId val="195001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9817087"/>
        <c:crosses val="autoZero"/>
        <c:auto val="1"/>
        <c:lblAlgn val="ctr"/>
        <c:lblOffset val="100"/>
        <c:noMultiLvlLbl val="0"/>
      </c:catAx>
      <c:valAx>
        <c:axId val="194981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001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289560</xdr:colOff>
      <xdr:row>12</xdr:row>
      <xdr:rowOff>15240</xdr:rowOff>
    </xdr:from>
    <xdr:to>
      <xdr:col>7</xdr:col>
      <xdr:colOff>7620</xdr:colOff>
      <xdr:row>21</xdr:row>
      <xdr:rowOff>175260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DDD7080-2988-4ABD-892F-99B29F08B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12</xdr:row>
      <xdr:rowOff>7620</xdr:rowOff>
    </xdr:from>
    <xdr:to>
      <xdr:col>2</xdr:col>
      <xdr:colOff>15240</xdr:colOff>
      <xdr:row>22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CCC67234-0CC4-46A3-BA5F-44BE04C28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4.647848842593" createdVersion="6" refreshedVersion="6" minRefreshableVersion="3" recordCount="41" xr:uid="{FD073D08-A1CE-4F6D-85F3-7B2B57BA201C}">
  <cacheSource type="worksheet">
    <worksheetSource ref="A1:M1048576" sheet="data_mart"/>
  </cacheSource>
  <cacheFields count="13">
    <cacheField name="OrderID" numFmtId="0">
      <sharedItems containsString="0" containsBlank="1" containsNumber="1" containsInteger="1" minValue="1001" maxValue="1040"/>
    </cacheField>
    <cacheField name="OrderDate" numFmtId="0">
      <sharedItems containsNonDate="0" containsDate="1" containsString="0" containsBlank="1" minDate="2023-01-05T00:00:00" maxDate="2023-07-06T00:00:00"/>
    </cacheField>
    <cacheField name="City" numFmtId="0">
      <sharedItems containsBlank="1"/>
    </cacheField>
    <cacheField name="DeliveryCost" numFmtId="0">
      <sharedItems containsString="0" containsBlank="1" containsNumber="1" containsInteger="1" minValue="150" maxValue="1200"/>
    </cacheField>
    <cacheField name="Returned" numFmtId="0">
      <sharedItems containsBlank="1" count="3">
        <s v="Нет"/>
        <s v="Да"/>
        <m/>
      </sharedItems>
    </cacheField>
    <cacheField name="customers.CustomerName" numFmtId="0">
      <sharedItems containsBlank="1"/>
    </cacheField>
    <cacheField name="orderitems.Quantity" numFmtId="0">
      <sharedItems containsString="0" containsBlank="1" containsNumber="1" containsInteger="1" minValue="1" maxValue="5"/>
    </cacheField>
    <cacheField name="orderitems.Discount" numFmtId="0">
      <sharedItems containsString="0" containsBlank="1" containsNumber="1" minValue="0" maxValue="0.2"/>
    </cacheField>
    <cacheField name="products.Product" numFmtId="0">
      <sharedItems containsBlank="1"/>
    </cacheField>
    <cacheField name="products.Category" numFmtId="0">
      <sharedItems containsBlank="1"/>
    </cacheField>
    <cacheField name="products.Price" numFmtId="0">
      <sharedItems containsString="0" containsBlank="1" containsNumber="1" containsInteger="1" minValue="350" maxValue="75000"/>
    </cacheField>
    <cacheField name="Revenue" numFmtId="0">
      <sharedItems containsString="0" containsBlank="1" containsNumber="1" containsInteger="1" minValue="530" maxValue="80700"/>
    </cacheField>
    <cacheField name="MonthOrderDa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4.647849189816" createdVersion="6" refreshedVersion="6" minRefreshableVersion="3" recordCount="40" xr:uid="{2C9F0D00-7A96-4687-9531-2B61DF8EFB12}">
  <cacheSource type="worksheet">
    <worksheetSource name="data_mart"/>
  </cacheSource>
  <cacheFields count="13">
    <cacheField name="OrderID" numFmtId="0">
      <sharedItems containsSemiMixedTypes="0" containsString="0" containsNumber="1" containsInteger="1" minValue="1001" maxValue="1040"/>
    </cacheField>
    <cacheField name="OrderDate" numFmtId="14">
      <sharedItems containsSemiMixedTypes="0" containsNonDate="0" containsDate="1" containsString="0" minDate="2023-01-05T00:00:00" maxDate="2023-07-06T00:00:00"/>
    </cacheField>
    <cacheField name="City" numFmtId="0">
      <sharedItems count="7">
        <s v="Москва"/>
        <s v="Краснодар"/>
        <s v="Санкт-Петербург"/>
        <s v="Казань"/>
        <s v="Екатеринбург"/>
        <s v="Новосибирск"/>
        <s v="Владивосток"/>
      </sharedItems>
    </cacheField>
    <cacheField name="DeliveryCost" numFmtId="0">
      <sharedItems containsSemiMixedTypes="0" containsString="0" containsNumber="1" containsInteger="1" minValue="150" maxValue="1200"/>
    </cacheField>
    <cacheField name="Returned" numFmtId="0">
      <sharedItems/>
    </cacheField>
    <cacheField name="customers.CustomerName" numFmtId="0">
      <sharedItems containsBlank="1"/>
    </cacheField>
    <cacheField name="orderitems.Quantity" numFmtId="0">
      <sharedItems containsSemiMixedTypes="0" containsString="0" containsNumber="1" containsInteger="1" minValue="1" maxValue="5"/>
    </cacheField>
    <cacheField name="orderitems.Discount" numFmtId="0">
      <sharedItems containsSemiMixedTypes="0" containsString="0" containsNumber="1" minValue="0" maxValue="0.2"/>
    </cacheField>
    <cacheField name="products.Product" numFmtId="0">
      <sharedItems/>
    </cacheField>
    <cacheField name="products.Category" numFmtId="0">
      <sharedItems/>
    </cacheField>
    <cacheField name="products.Price" numFmtId="0">
      <sharedItems containsSemiMixedTypes="0" containsString="0" containsNumber="1" containsInteger="1" minValue="350" maxValue="75000"/>
    </cacheField>
    <cacheField name="Revenue" numFmtId="0">
      <sharedItems containsSemiMixedTypes="0" containsString="0" containsNumber="1" containsInteger="1" minValue="530" maxValue="80700"/>
    </cacheField>
    <cacheField name="MonthOrderDate" numFmtId="0">
      <sharedItems count="14">
        <s v="01 - Январь"/>
        <s v="04 - Апрель"/>
        <s v="02 - Февраль"/>
        <s v="03 - Март"/>
        <s v="05 - Май"/>
        <s v="06 - Июнь"/>
        <s v="07 - Июль"/>
        <s v="Май 2023" u="1"/>
        <s v="Июль 2023" u="1"/>
        <s v="Февраль 2023" u="1"/>
        <s v="Июнь 2023" u="1"/>
        <s v="Март 2023" u="1"/>
        <s v="Апрель 2023" u="1"/>
        <s v="Январь 2023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1001"/>
    <d v="2023-01-05T00:00:00"/>
    <s v="Москва"/>
    <n v="500"/>
    <x v="0"/>
    <s v="Иванов А."/>
    <n v="1"/>
    <n v="0.05"/>
    <s v="Ноутбук"/>
    <s v="Техника"/>
    <n v="75000"/>
    <n v="70750"/>
    <s v="01 - Январь"/>
  </r>
  <r>
    <n v="1026"/>
    <d v="2023-04-25T00:00:00"/>
    <s v="Краснодар"/>
    <n v="330"/>
    <x v="0"/>
    <s v="Антонова Н."/>
    <n v="1"/>
    <n v="0"/>
    <s v="Ноутбук"/>
    <s v="Техника"/>
    <n v="75000"/>
    <n v="74670"/>
    <s v="04 - Апрель"/>
  </r>
  <r>
    <n v="1002"/>
    <d v="2023-01-07T00:00:00"/>
    <s v="Санкт-Петербург"/>
    <n v="300"/>
    <x v="1"/>
    <s v="Петрова С."/>
    <n v="2"/>
    <n v="0.1"/>
    <s v="Смартфон"/>
    <s v="Техника"/>
    <n v="45000"/>
    <n v="80700"/>
    <s v="01 - Январь"/>
  </r>
  <r>
    <n v="1003"/>
    <d v="2023-01-10T00:00:00"/>
    <s v="Казань"/>
    <n v="200"/>
    <x v="0"/>
    <s v="Сидоров В."/>
    <n v="3"/>
    <n v="0"/>
    <s v="Книга"/>
    <s v="Книги"/>
    <n v="500"/>
    <n v="1300"/>
    <s v="01 - Январь"/>
  </r>
  <r>
    <n v="1004"/>
    <d v="2023-01-12T00:00:00"/>
    <s v="Москва"/>
    <n v="250"/>
    <x v="0"/>
    <s v="Козлова Е."/>
    <n v="1"/>
    <n v="0.15"/>
    <s v="Наушники"/>
    <s v="Техника"/>
    <n v="8000"/>
    <n v="6550"/>
    <s v="01 - Январь"/>
  </r>
  <r>
    <n v="1005"/>
    <d v="2023-01-15T00:00:00"/>
    <s v="Екатеринбург"/>
    <n v="150"/>
    <x v="0"/>
    <s v="Морозов Д."/>
    <n v="5"/>
    <n v="0"/>
    <s v="Кружка"/>
    <s v="Товары для дома"/>
    <n v="350"/>
    <n v="1600"/>
    <s v="01 - Январь"/>
  </r>
  <r>
    <n v="1006"/>
    <d v="2023-01-20T00:00:00"/>
    <s v="Екатеринбург"/>
    <n v="400"/>
    <x v="1"/>
    <s v="Новикова А."/>
    <n v="1"/>
    <n v="0.05"/>
    <s v="Планшет"/>
    <s v="Техника"/>
    <n v="32000"/>
    <n v="30000"/>
    <s v="01 - Январь"/>
  </r>
  <r>
    <n v="1007"/>
    <d v="2023-01-25T00:00:00"/>
    <s v="Москва"/>
    <n v="200"/>
    <x v="0"/>
    <s v="Лебедев И."/>
    <n v="2"/>
    <n v="0.2"/>
    <s v="Футболка"/>
    <s v="Одежда"/>
    <n v="1500"/>
    <n v="2200"/>
    <s v="01 - Январь"/>
  </r>
  <r>
    <n v="1008"/>
    <d v="2023-01-30T00:00:00"/>
    <s v="Новосибирск"/>
    <n v="800"/>
    <x v="0"/>
    <s v="Смирнова О."/>
    <n v="1"/>
    <n v="0.1"/>
    <s v="Стул"/>
    <s v="Мебель"/>
    <n v="12000"/>
    <n v="10000"/>
    <s v="01 - Январь"/>
  </r>
  <r>
    <n v="1009"/>
    <d v="2023-02-02T00:00:00"/>
    <s v="Москва"/>
    <n v="600"/>
    <x v="0"/>
    <s v="Васильев П."/>
    <n v="1"/>
    <n v="0"/>
    <s v="Монитор"/>
    <s v="Техника"/>
    <n v="30000"/>
    <n v="29400"/>
    <s v="02 - Февраль"/>
  </r>
  <r>
    <n v="1010"/>
    <d v="2023-02-05T00:00:00"/>
    <s v="Санкт-Петербург"/>
    <n v="150"/>
    <x v="1"/>
    <s v="Иванова Т."/>
    <n v="1"/>
    <n v="0.05"/>
    <s v="Клавиатура"/>
    <s v="Техника"/>
    <n v="2500"/>
    <n v="2225"/>
    <s v="02 - Февраль"/>
  </r>
  <r>
    <n v="1011"/>
    <d v="2023-02-10T00:00:00"/>
    <s v="Краснодар"/>
    <n v="350"/>
    <x v="0"/>
    <s v="Кузнецов М."/>
    <n v="1"/>
    <n v="0"/>
    <s v="Мышь"/>
    <s v="Техника"/>
    <n v="1200"/>
    <n v="850"/>
    <s v="02 - Февраль"/>
  </r>
  <r>
    <n v="1012"/>
    <d v="2023-02-15T00:00:00"/>
    <s v="Владивосток"/>
    <n v="1200"/>
    <x v="0"/>
    <s v="Попова Л."/>
    <n v="2"/>
    <n v="0.15"/>
    <s v="Рюкзак"/>
    <s v="Аксессуары"/>
    <n v="3500"/>
    <n v="4750"/>
    <s v="02 - Февраль"/>
  </r>
  <r>
    <n v="1013"/>
    <d v="2023-02-20T00:00:00"/>
    <s v="Москва"/>
    <n v="180"/>
    <x v="1"/>
    <s v="Соколов Н."/>
    <n v="1"/>
    <n v="0.1"/>
    <s v="Часы"/>
    <s v="Аксессуары"/>
    <n v="8900"/>
    <n v="7830"/>
    <s v="02 - Февраль"/>
  </r>
  <r>
    <n v="1014"/>
    <d v="2023-02-25T00:00:00"/>
    <s v="Новосибирск"/>
    <n v="700"/>
    <x v="0"/>
    <s v="Федорова К."/>
    <n v="1"/>
    <n v="0"/>
    <s v="Принтер"/>
    <s v="Техника"/>
    <n v="15000"/>
    <n v="14300"/>
    <s v="02 - Февраль"/>
  </r>
  <r>
    <n v="1015"/>
    <d v="2023-03-01T00:00:00"/>
    <s v="Казань"/>
    <n v="220"/>
    <x v="0"/>
    <s v="Никитин Д."/>
    <n v="1"/>
    <n v="0.05"/>
    <s v="Кофеварка"/>
    <s v="Техника"/>
    <n v="6700"/>
    <n v="6145"/>
    <s v="03 - Март"/>
  </r>
  <r>
    <n v="1016"/>
    <d v="2023-03-05T00:00:00"/>
    <s v="Санкт-Петербург"/>
    <n v="320"/>
    <x v="1"/>
    <s v="Павлова М."/>
    <n v="1"/>
    <n v="0"/>
    <s v="Блендер"/>
    <s v="Техника"/>
    <n v="4500"/>
    <n v="4180"/>
    <s v="03 - Март"/>
  </r>
  <r>
    <n v="1017"/>
    <d v="2023-03-10T00:00:00"/>
    <s v="Екатеринбург"/>
    <n v="280"/>
    <x v="0"/>
    <s v="Громов А."/>
    <n v="3"/>
    <n v="0.2"/>
    <s v="Плед"/>
    <s v="Товары для дома"/>
    <n v="2200"/>
    <n v="5000"/>
    <s v="03 - Март"/>
  </r>
  <r>
    <n v="1018"/>
    <d v="2023-03-15T00:00:00"/>
    <s v="Москва"/>
    <n v="550"/>
    <x v="0"/>
    <s v="Тихонова В."/>
    <n v="1"/>
    <n v="0"/>
    <s v="Зонт"/>
    <s v="Аксессуары"/>
    <n v="1300"/>
    <n v="750"/>
    <s v="03 - Март"/>
  </r>
  <r>
    <n v="1019"/>
    <d v="2023-03-20T00:00:00"/>
    <s v="Краснодар"/>
    <n v="380"/>
    <x v="0"/>
    <s v="Белов С."/>
    <n v="1"/>
    <n v="0.1"/>
    <s v="Фен"/>
    <s v="Техника"/>
    <n v="2800"/>
    <n v="2140"/>
    <s v="03 - Март"/>
  </r>
  <r>
    <n v="1020"/>
    <d v="2023-03-25T00:00:00"/>
    <s v="Владивосток"/>
    <n v="950"/>
    <x v="1"/>
    <s v="Крылова Е."/>
    <n v="1"/>
    <n v="0.05"/>
    <s v="Утюг"/>
    <s v="Техника"/>
    <n v="3200"/>
    <n v="2090"/>
    <s v="03 - Март"/>
  </r>
  <r>
    <n v="1021"/>
    <d v="2023-04-01T00:00:00"/>
    <s v="Новосибирск"/>
    <n v="420"/>
    <x v="0"/>
    <s v="Максимов П."/>
    <n v="1"/>
    <n v="0"/>
    <s v="Пылесос"/>
    <s v="Техника"/>
    <n v="8900"/>
    <n v="8480"/>
    <s v="04 - Апрель"/>
  </r>
  <r>
    <n v="1022"/>
    <d v="2023-04-05T00:00:00"/>
    <s v="Казань"/>
    <n v="190"/>
    <x v="0"/>
    <s v="Орлова А."/>
    <n v="1"/>
    <n v="0.15"/>
    <s v="Миксер"/>
    <s v="Техника"/>
    <n v="3800"/>
    <n v="3040"/>
    <s v="04 - Апрель"/>
  </r>
  <r>
    <n v="1023"/>
    <d v="2023-04-10T00:00:00"/>
    <s v="Санкт-Петербург"/>
    <n v="310"/>
    <x v="0"/>
    <s v="Егоров И."/>
    <n v="1"/>
    <n v="0"/>
    <s v="Тостер"/>
    <s v="Техника"/>
    <n v="2900"/>
    <n v="2590"/>
    <s v="04 - Апрель"/>
  </r>
  <r>
    <n v="1024"/>
    <d v="2023-04-15T00:00:00"/>
    <s v="Екатеринбург"/>
    <n v="260"/>
    <x v="1"/>
    <s v="Зайцева О."/>
    <n v="1"/>
    <n v="0.1"/>
    <s v="Геймпад"/>
    <s v="Техника"/>
    <n v="3400"/>
    <n v="2800"/>
    <s v="04 - Апрель"/>
  </r>
  <r>
    <n v="1025"/>
    <d v="2023-04-20T00:00:00"/>
    <s v="Москва"/>
    <n v="580"/>
    <x v="0"/>
    <s v="Воронов Д."/>
    <n v="1"/>
    <n v="0.05"/>
    <s v="Колонка"/>
    <s v="Техника"/>
    <n v="5600"/>
    <n v="4740"/>
    <s v="04 - Апрель"/>
  </r>
  <r>
    <n v="1027"/>
    <d v="2023-05-01T00:00:00"/>
    <s v="Владивосток"/>
    <n v="1100"/>
    <x v="0"/>
    <s v="Гусев М."/>
    <n v="1"/>
    <n v="0.1"/>
    <s v="Смартфон"/>
    <s v="Техника"/>
    <n v="45000"/>
    <n v="39400"/>
    <s v="05 - Май"/>
  </r>
  <r>
    <n v="1028"/>
    <d v="2023-05-05T00:00:00"/>
    <s v="Новосибирск"/>
    <n v="470"/>
    <x v="1"/>
    <s v="Сорокина Л."/>
    <n v="2"/>
    <n v="0"/>
    <s v="Книга"/>
    <s v="Книги"/>
    <n v="500"/>
    <n v="530"/>
    <s v="05 - Май"/>
  </r>
  <r>
    <n v="1029"/>
    <d v="2023-05-10T00:00:00"/>
    <s v="Казань"/>
    <n v="210"/>
    <x v="0"/>
    <s v="Тарасов В."/>
    <n v="1"/>
    <n v="0.15"/>
    <s v="Наушники"/>
    <s v="Техника"/>
    <n v="8000"/>
    <n v="6590"/>
    <s v="05 - Май"/>
  </r>
  <r>
    <n v="1030"/>
    <d v="2023-05-15T00:00:00"/>
    <s v="Санкт-Петербург"/>
    <n v="290"/>
    <x v="0"/>
    <s v="Михайлова Е."/>
    <n v="3"/>
    <n v="0"/>
    <s v="Кружка"/>
    <s v="Товары для дома"/>
    <n v="350"/>
    <n v="760"/>
    <s v="05 - Май"/>
  </r>
  <r>
    <n v="1031"/>
    <d v="2023-05-20T00:00:00"/>
    <s v="Екатеринбург"/>
    <n v="340"/>
    <x v="0"/>
    <m/>
    <n v="1"/>
    <n v="0.05"/>
    <s v="Планшет"/>
    <s v="Техника"/>
    <n v="32000"/>
    <n v="30060"/>
    <s v="05 - Май"/>
  </r>
  <r>
    <n v="1032"/>
    <d v="2023-05-25T00:00:00"/>
    <s v="Москва"/>
    <n v="620"/>
    <x v="1"/>
    <m/>
    <n v="1"/>
    <n v="0.2"/>
    <s v="Футболка"/>
    <s v="Одежда"/>
    <n v="1500"/>
    <n v="580"/>
    <s v="05 - Май"/>
  </r>
  <r>
    <n v="1033"/>
    <d v="2023-06-01T00:00:00"/>
    <s v="Краснодар"/>
    <n v="370"/>
    <x v="0"/>
    <m/>
    <n v="1"/>
    <n v="0.1"/>
    <s v="Стул"/>
    <s v="Мебель"/>
    <n v="12000"/>
    <n v="10430"/>
    <s v="06 - Июнь"/>
  </r>
  <r>
    <n v="1034"/>
    <d v="2023-06-05T00:00:00"/>
    <s v="Владивосток"/>
    <n v="1050"/>
    <x v="0"/>
    <m/>
    <n v="1"/>
    <n v="0"/>
    <s v="Монитор"/>
    <s v="Техника"/>
    <n v="30000"/>
    <n v="28950"/>
    <s v="06 - Июнь"/>
  </r>
  <r>
    <n v="1035"/>
    <d v="2023-06-10T00:00:00"/>
    <s v="Новосибирск"/>
    <n v="440"/>
    <x v="0"/>
    <m/>
    <n v="1"/>
    <n v="0.05"/>
    <s v="Клавиатура"/>
    <s v="Техника"/>
    <n v="2500"/>
    <n v="1935"/>
    <s v="06 - Июнь"/>
  </r>
  <r>
    <n v="1036"/>
    <d v="2023-06-15T00:00:00"/>
    <s v="Казань"/>
    <n v="230"/>
    <x v="1"/>
    <m/>
    <n v="2"/>
    <n v="0"/>
    <s v="Мышь"/>
    <s v="Техника"/>
    <n v="1200"/>
    <n v="2170"/>
    <s v="06 - Июнь"/>
  </r>
  <r>
    <n v="1037"/>
    <d v="2023-06-20T00:00:00"/>
    <s v="Санкт-Петербург"/>
    <n v="270"/>
    <x v="0"/>
    <m/>
    <n v="1"/>
    <n v="0.15"/>
    <s v="Рюкзак"/>
    <s v="Аксессуары"/>
    <n v="3500"/>
    <n v="2705"/>
    <s v="06 - Июнь"/>
  </r>
  <r>
    <n v="1038"/>
    <d v="2023-06-25T00:00:00"/>
    <s v="Екатеринбург"/>
    <n v="390"/>
    <x v="0"/>
    <m/>
    <n v="1"/>
    <n v="0.1"/>
    <s v="Часы"/>
    <s v="Аксессуары"/>
    <n v="8900"/>
    <n v="7620"/>
    <s v="06 - Июнь"/>
  </r>
  <r>
    <n v="1039"/>
    <d v="2023-07-01T00:00:00"/>
    <s v="Москва"/>
    <n v="650"/>
    <x v="0"/>
    <m/>
    <n v="1"/>
    <n v="0"/>
    <s v="Принтер"/>
    <s v="Техника"/>
    <n v="15000"/>
    <n v="14350"/>
    <s v="07 - Июль"/>
  </r>
  <r>
    <n v="1040"/>
    <d v="2023-07-05T00:00:00"/>
    <s v="Краснодар"/>
    <n v="410"/>
    <x v="1"/>
    <m/>
    <n v="1"/>
    <n v="0.05"/>
    <s v="Кофеварка"/>
    <s v="Техника"/>
    <n v="6700"/>
    <n v="5955"/>
    <s v="07 - Июль"/>
  </r>
  <r>
    <m/>
    <m/>
    <m/>
    <m/>
    <x v="2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001"/>
    <d v="2023-01-05T00:00:00"/>
    <x v="0"/>
    <n v="500"/>
    <s v="Нет"/>
    <s v="Иванов А."/>
    <n v="1"/>
    <n v="0.05"/>
    <s v="Ноутбук"/>
    <s v="Техника"/>
    <n v="75000"/>
    <n v="70750"/>
    <x v="0"/>
  </r>
  <r>
    <n v="1026"/>
    <d v="2023-04-25T00:00:00"/>
    <x v="1"/>
    <n v="330"/>
    <s v="Нет"/>
    <s v="Антонова Н."/>
    <n v="1"/>
    <n v="0"/>
    <s v="Ноутбук"/>
    <s v="Техника"/>
    <n v="75000"/>
    <n v="74670"/>
    <x v="1"/>
  </r>
  <r>
    <n v="1002"/>
    <d v="2023-01-07T00:00:00"/>
    <x v="2"/>
    <n v="300"/>
    <s v="Да"/>
    <s v="Петрова С."/>
    <n v="2"/>
    <n v="0.1"/>
    <s v="Смартфон"/>
    <s v="Техника"/>
    <n v="45000"/>
    <n v="80700"/>
    <x v="0"/>
  </r>
  <r>
    <n v="1003"/>
    <d v="2023-01-10T00:00:00"/>
    <x v="3"/>
    <n v="200"/>
    <s v="Нет"/>
    <s v="Сидоров В."/>
    <n v="3"/>
    <n v="0"/>
    <s v="Книга"/>
    <s v="Книги"/>
    <n v="500"/>
    <n v="1300"/>
    <x v="0"/>
  </r>
  <r>
    <n v="1004"/>
    <d v="2023-01-12T00:00:00"/>
    <x v="0"/>
    <n v="250"/>
    <s v="Нет"/>
    <s v="Козлова Е."/>
    <n v="1"/>
    <n v="0.15"/>
    <s v="Наушники"/>
    <s v="Техника"/>
    <n v="8000"/>
    <n v="6550"/>
    <x v="0"/>
  </r>
  <r>
    <n v="1005"/>
    <d v="2023-01-15T00:00:00"/>
    <x v="4"/>
    <n v="150"/>
    <s v="Нет"/>
    <s v="Морозов Д."/>
    <n v="5"/>
    <n v="0"/>
    <s v="Кружка"/>
    <s v="Товары для дома"/>
    <n v="350"/>
    <n v="1600"/>
    <x v="0"/>
  </r>
  <r>
    <n v="1006"/>
    <d v="2023-01-20T00:00:00"/>
    <x v="4"/>
    <n v="400"/>
    <s v="Да"/>
    <s v="Новикова А."/>
    <n v="1"/>
    <n v="0.05"/>
    <s v="Планшет"/>
    <s v="Техника"/>
    <n v="32000"/>
    <n v="30000"/>
    <x v="0"/>
  </r>
  <r>
    <n v="1007"/>
    <d v="2023-01-25T00:00:00"/>
    <x v="0"/>
    <n v="200"/>
    <s v="Нет"/>
    <s v="Лебедев И."/>
    <n v="2"/>
    <n v="0.2"/>
    <s v="Футболка"/>
    <s v="Одежда"/>
    <n v="1500"/>
    <n v="2200"/>
    <x v="0"/>
  </r>
  <r>
    <n v="1008"/>
    <d v="2023-01-30T00:00:00"/>
    <x v="5"/>
    <n v="800"/>
    <s v="Нет"/>
    <s v="Смирнова О."/>
    <n v="1"/>
    <n v="0.1"/>
    <s v="Стул"/>
    <s v="Мебель"/>
    <n v="12000"/>
    <n v="10000"/>
    <x v="0"/>
  </r>
  <r>
    <n v="1009"/>
    <d v="2023-02-02T00:00:00"/>
    <x v="0"/>
    <n v="600"/>
    <s v="Нет"/>
    <s v="Васильев П."/>
    <n v="1"/>
    <n v="0"/>
    <s v="Монитор"/>
    <s v="Техника"/>
    <n v="30000"/>
    <n v="29400"/>
    <x v="2"/>
  </r>
  <r>
    <n v="1010"/>
    <d v="2023-02-05T00:00:00"/>
    <x v="2"/>
    <n v="150"/>
    <s v="Да"/>
    <s v="Иванова Т."/>
    <n v="1"/>
    <n v="0.05"/>
    <s v="Клавиатура"/>
    <s v="Техника"/>
    <n v="2500"/>
    <n v="2225"/>
    <x v="2"/>
  </r>
  <r>
    <n v="1011"/>
    <d v="2023-02-10T00:00:00"/>
    <x v="1"/>
    <n v="350"/>
    <s v="Нет"/>
    <s v="Кузнецов М."/>
    <n v="1"/>
    <n v="0"/>
    <s v="Мышь"/>
    <s v="Техника"/>
    <n v="1200"/>
    <n v="850"/>
    <x v="2"/>
  </r>
  <r>
    <n v="1012"/>
    <d v="2023-02-15T00:00:00"/>
    <x v="6"/>
    <n v="1200"/>
    <s v="Нет"/>
    <s v="Попова Л."/>
    <n v="2"/>
    <n v="0.15"/>
    <s v="Рюкзак"/>
    <s v="Аксессуары"/>
    <n v="3500"/>
    <n v="4750"/>
    <x v="2"/>
  </r>
  <r>
    <n v="1013"/>
    <d v="2023-02-20T00:00:00"/>
    <x v="0"/>
    <n v="180"/>
    <s v="Да"/>
    <s v="Соколов Н."/>
    <n v="1"/>
    <n v="0.1"/>
    <s v="Часы"/>
    <s v="Аксессуары"/>
    <n v="8900"/>
    <n v="7830"/>
    <x v="2"/>
  </r>
  <r>
    <n v="1014"/>
    <d v="2023-02-25T00:00:00"/>
    <x v="5"/>
    <n v="700"/>
    <s v="Нет"/>
    <s v="Федорова К."/>
    <n v="1"/>
    <n v="0"/>
    <s v="Принтер"/>
    <s v="Техника"/>
    <n v="15000"/>
    <n v="14300"/>
    <x v="2"/>
  </r>
  <r>
    <n v="1015"/>
    <d v="2023-03-01T00:00:00"/>
    <x v="3"/>
    <n v="220"/>
    <s v="Нет"/>
    <s v="Никитин Д."/>
    <n v="1"/>
    <n v="0.05"/>
    <s v="Кофеварка"/>
    <s v="Техника"/>
    <n v="6700"/>
    <n v="6145"/>
    <x v="3"/>
  </r>
  <r>
    <n v="1016"/>
    <d v="2023-03-05T00:00:00"/>
    <x v="2"/>
    <n v="320"/>
    <s v="Да"/>
    <s v="Павлова М."/>
    <n v="1"/>
    <n v="0"/>
    <s v="Блендер"/>
    <s v="Техника"/>
    <n v="4500"/>
    <n v="4180"/>
    <x v="3"/>
  </r>
  <r>
    <n v="1017"/>
    <d v="2023-03-10T00:00:00"/>
    <x v="4"/>
    <n v="280"/>
    <s v="Нет"/>
    <s v="Громов А."/>
    <n v="3"/>
    <n v="0.2"/>
    <s v="Плед"/>
    <s v="Товары для дома"/>
    <n v="2200"/>
    <n v="5000"/>
    <x v="3"/>
  </r>
  <r>
    <n v="1018"/>
    <d v="2023-03-15T00:00:00"/>
    <x v="0"/>
    <n v="550"/>
    <s v="Нет"/>
    <s v="Тихонова В."/>
    <n v="1"/>
    <n v="0"/>
    <s v="Зонт"/>
    <s v="Аксессуары"/>
    <n v="1300"/>
    <n v="750"/>
    <x v="3"/>
  </r>
  <r>
    <n v="1019"/>
    <d v="2023-03-20T00:00:00"/>
    <x v="1"/>
    <n v="380"/>
    <s v="Нет"/>
    <s v="Белов С."/>
    <n v="1"/>
    <n v="0.1"/>
    <s v="Фен"/>
    <s v="Техника"/>
    <n v="2800"/>
    <n v="2140"/>
    <x v="3"/>
  </r>
  <r>
    <n v="1020"/>
    <d v="2023-03-25T00:00:00"/>
    <x v="6"/>
    <n v="950"/>
    <s v="Да"/>
    <s v="Крылова Е."/>
    <n v="1"/>
    <n v="0.05"/>
    <s v="Утюг"/>
    <s v="Техника"/>
    <n v="3200"/>
    <n v="2090"/>
    <x v="3"/>
  </r>
  <r>
    <n v="1021"/>
    <d v="2023-04-01T00:00:00"/>
    <x v="5"/>
    <n v="420"/>
    <s v="Нет"/>
    <s v="Максимов П."/>
    <n v="1"/>
    <n v="0"/>
    <s v="Пылесос"/>
    <s v="Техника"/>
    <n v="8900"/>
    <n v="8480"/>
    <x v="1"/>
  </r>
  <r>
    <n v="1022"/>
    <d v="2023-04-05T00:00:00"/>
    <x v="3"/>
    <n v="190"/>
    <s v="Нет"/>
    <s v="Орлова А."/>
    <n v="1"/>
    <n v="0.15"/>
    <s v="Миксер"/>
    <s v="Техника"/>
    <n v="3800"/>
    <n v="3040"/>
    <x v="1"/>
  </r>
  <r>
    <n v="1023"/>
    <d v="2023-04-10T00:00:00"/>
    <x v="2"/>
    <n v="310"/>
    <s v="Нет"/>
    <s v="Егоров И."/>
    <n v="1"/>
    <n v="0"/>
    <s v="Тостер"/>
    <s v="Техника"/>
    <n v="2900"/>
    <n v="2590"/>
    <x v="1"/>
  </r>
  <r>
    <n v="1024"/>
    <d v="2023-04-15T00:00:00"/>
    <x v="4"/>
    <n v="260"/>
    <s v="Да"/>
    <s v="Зайцева О."/>
    <n v="1"/>
    <n v="0.1"/>
    <s v="Геймпад"/>
    <s v="Техника"/>
    <n v="3400"/>
    <n v="2800"/>
    <x v="1"/>
  </r>
  <r>
    <n v="1025"/>
    <d v="2023-04-20T00:00:00"/>
    <x v="0"/>
    <n v="580"/>
    <s v="Нет"/>
    <s v="Воронов Д."/>
    <n v="1"/>
    <n v="0.05"/>
    <s v="Колонка"/>
    <s v="Техника"/>
    <n v="5600"/>
    <n v="4740"/>
    <x v="1"/>
  </r>
  <r>
    <n v="1027"/>
    <d v="2023-05-01T00:00:00"/>
    <x v="6"/>
    <n v="1100"/>
    <s v="Нет"/>
    <s v="Гусев М."/>
    <n v="1"/>
    <n v="0.1"/>
    <s v="Смартфон"/>
    <s v="Техника"/>
    <n v="45000"/>
    <n v="39400"/>
    <x v="4"/>
  </r>
  <r>
    <n v="1028"/>
    <d v="2023-05-05T00:00:00"/>
    <x v="5"/>
    <n v="470"/>
    <s v="Да"/>
    <s v="Сорокина Л."/>
    <n v="2"/>
    <n v="0"/>
    <s v="Книга"/>
    <s v="Книги"/>
    <n v="500"/>
    <n v="530"/>
    <x v="4"/>
  </r>
  <r>
    <n v="1029"/>
    <d v="2023-05-10T00:00:00"/>
    <x v="3"/>
    <n v="210"/>
    <s v="Нет"/>
    <s v="Тарасов В."/>
    <n v="1"/>
    <n v="0.15"/>
    <s v="Наушники"/>
    <s v="Техника"/>
    <n v="8000"/>
    <n v="6590"/>
    <x v="4"/>
  </r>
  <r>
    <n v="1030"/>
    <d v="2023-05-15T00:00:00"/>
    <x v="2"/>
    <n v="290"/>
    <s v="Нет"/>
    <s v="Михайлова Е."/>
    <n v="3"/>
    <n v="0"/>
    <s v="Кружка"/>
    <s v="Товары для дома"/>
    <n v="350"/>
    <n v="760"/>
    <x v="4"/>
  </r>
  <r>
    <n v="1031"/>
    <d v="2023-05-20T00:00:00"/>
    <x v="4"/>
    <n v="340"/>
    <s v="Нет"/>
    <m/>
    <n v="1"/>
    <n v="0.05"/>
    <s v="Планшет"/>
    <s v="Техника"/>
    <n v="32000"/>
    <n v="30060"/>
    <x v="4"/>
  </r>
  <r>
    <n v="1032"/>
    <d v="2023-05-25T00:00:00"/>
    <x v="0"/>
    <n v="620"/>
    <s v="Да"/>
    <m/>
    <n v="1"/>
    <n v="0.2"/>
    <s v="Футболка"/>
    <s v="Одежда"/>
    <n v="1500"/>
    <n v="580"/>
    <x v="4"/>
  </r>
  <r>
    <n v="1033"/>
    <d v="2023-06-01T00:00:00"/>
    <x v="1"/>
    <n v="370"/>
    <s v="Нет"/>
    <m/>
    <n v="1"/>
    <n v="0.1"/>
    <s v="Стул"/>
    <s v="Мебель"/>
    <n v="12000"/>
    <n v="10430"/>
    <x v="5"/>
  </r>
  <r>
    <n v="1034"/>
    <d v="2023-06-05T00:00:00"/>
    <x v="6"/>
    <n v="1050"/>
    <s v="Нет"/>
    <m/>
    <n v="1"/>
    <n v="0"/>
    <s v="Монитор"/>
    <s v="Техника"/>
    <n v="30000"/>
    <n v="28950"/>
    <x v="5"/>
  </r>
  <r>
    <n v="1035"/>
    <d v="2023-06-10T00:00:00"/>
    <x v="5"/>
    <n v="440"/>
    <s v="Нет"/>
    <m/>
    <n v="1"/>
    <n v="0.05"/>
    <s v="Клавиатура"/>
    <s v="Техника"/>
    <n v="2500"/>
    <n v="1935"/>
    <x v="5"/>
  </r>
  <r>
    <n v="1036"/>
    <d v="2023-06-15T00:00:00"/>
    <x v="3"/>
    <n v="230"/>
    <s v="Да"/>
    <m/>
    <n v="2"/>
    <n v="0"/>
    <s v="Мышь"/>
    <s v="Техника"/>
    <n v="1200"/>
    <n v="2170"/>
    <x v="5"/>
  </r>
  <r>
    <n v="1037"/>
    <d v="2023-06-20T00:00:00"/>
    <x v="2"/>
    <n v="270"/>
    <s v="Нет"/>
    <m/>
    <n v="1"/>
    <n v="0.15"/>
    <s v="Рюкзак"/>
    <s v="Аксессуары"/>
    <n v="3500"/>
    <n v="2705"/>
    <x v="5"/>
  </r>
  <r>
    <n v="1038"/>
    <d v="2023-06-25T00:00:00"/>
    <x v="4"/>
    <n v="390"/>
    <s v="Нет"/>
    <m/>
    <n v="1"/>
    <n v="0.1"/>
    <s v="Часы"/>
    <s v="Аксессуары"/>
    <n v="8900"/>
    <n v="7620"/>
    <x v="5"/>
  </r>
  <r>
    <n v="1039"/>
    <d v="2023-07-01T00:00:00"/>
    <x v="0"/>
    <n v="650"/>
    <s v="Нет"/>
    <m/>
    <n v="1"/>
    <n v="0"/>
    <s v="Принтер"/>
    <s v="Техника"/>
    <n v="15000"/>
    <n v="14350"/>
    <x v="6"/>
  </r>
  <r>
    <n v="1040"/>
    <d v="2023-07-05T00:00:00"/>
    <x v="1"/>
    <n v="410"/>
    <s v="Да"/>
    <m/>
    <n v="1"/>
    <n v="0.05"/>
    <s v="Кофеварка"/>
    <s v="Техника"/>
    <n v="6700"/>
    <n v="5955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905E62-90D1-4916-A774-C37F8FC49189}" name="Сводная таблица5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rowHeaderCaption="Returned">
  <location ref="A4:C7" firstHeaderRow="0" firstDataRow="1" firstDataCol="1"/>
  <pivotFields count="13">
    <pivotField dataField="1"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Revenue" fld="11" baseField="0" baseItem="0"/>
    <dataField name="Сумма по полю Order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D053D9-7A21-4A1D-9F79-325079755A63}" name="Сводная таблица4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4" rowHeaderCaption="City">
  <location ref="D3:E11" firstHeaderRow="1" firstDataRow="1" firstDataCol="1"/>
  <pivotFields count="13">
    <pivotField showAll="0"/>
    <pivotField numFmtId="14" showAll="0"/>
    <pivotField axis="axisRow" showAll="0" sortType="descending">
      <items count="8">
        <item x="2"/>
        <item x="5"/>
        <item x="0"/>
        <item x="1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8">
    <i>
      <x v="2"/>
    </i>
    <i>
      <x v="3"/>
    </i>
    <i>
      <x/>
    </i>
    <i>
      <x v="5"/>
    </i>
    <i>
      <x v="6"/>
    </i>
    <i>
      <x v="1"/>
    </i>
    <i>
      <x v="4"/>
    </i>
    <i t="grand">
      <x/>
    </i>
  </rowItems>
  <colItems count="1">
    <i/>
  </colItems>
  <dataFields count="1">
    <dataField name="Сумма по полю Revenue" fld="11" baseField="0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E9D13-7EEB-4DDE-BC2C-F771FE6AEE80}" name="Сводная таблица2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 rowHeaderCaption="MonthOrderDate">
  <location ref="A3:B11" firstHeaderRow="1" firstDataRow="1" firstDataCol="1"/>
  <pivotFields count="13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nonAutoSortDefault="1">
      <items count="15">
        <item x="0"/>
        <item x="2"/>
        <item x="3"/>
        <item x="1"/>
        <item x="4"/>
        <item x="5"/>
        <item x="6"/>
        <item m="1" x="13"/>
        <item m="1" x="9"/>
        <item m="1" x="8"/>
        <item m="1" x="11"/>
        <item m="1" x="12"/>
        <item m="1" x="7"/>
        <item m="1" x="10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Сумма по полю Reven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904738F8-B5DB-433C-B31A-6BA9D5F2DA3C}" autoFormatId="16" applyNumberFormats="0" applyBorderFormats="0" applyFontFormats="0" applyPatternFormats="0" applyAlignmentFormats="0" applyWidthHeightFormats="0">
  <queryTableRefresh nextId="5">
    <queryTableFields count="4">
      <queryTableField id="1" name="products.Category" tableColumnId="1"/>
      <queryTableField id="2" name="SumRevenue" tableColumnId="2"/>
      <queryTableField id="3" name="AvgRevenue" tableColumnId="3"/>
      <queryTableField id="4" name="CountDistinctClient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4BB33554-35BD-4F3D-9BC8-FB769E79F034}" autoFormatId="16" applyNumberFormats="0" applyBorderFormats="0" applyFontFormats="0" applyPatternFormats="0" applyAlignmentFormats="0" applyWidthHeightFormats="0">
  <queryTableRefresh nextId="3">
    <queryTableFields count="2">
      <queryTableField id="1" name="products.Product" tableColumnId="1"/>
      <queryTableField id="2" name="SumRevenueProduc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50D7115-CDE8-4836-8EF5-DD87983DFFF8}" autoFormatId="16" applyNumberFormats="0" applyBorderFormats="0" applyFontFormats="0" applyPatternFormats="0" applyAlignmentFormats="0" applyWidthHeightFormats="0">
  <queryTableRefresh nextId="6">
    <queryTableFields count="5">
      <queryTableField id="1" name="CustomerID" tableColumnId="1"/>
      <queryTableField id="2" name="CustomerName" tableColumnId="2"/>
      <queryTableField id="3" name="CustomerSegment" tableColumnId="3"/>
      <queryTableField id="4" name="JoinDate" tableColumnId="4"/>
      <queryTableField id="5" name="Email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B497D814-45EA-4A6C-88EC-3457A6C7D1C5}" autoFormatId="16" applyNumberFormats="0" applyBorderFormats="0" applyFontFormats="0" applyPatternFormats="0" applyAlignmentFormats="0" applyWidthHeightFormats="0">
  <queryTableRefresh nextId="6">
    <queryTableFields count="5">
      <queryTableField id="1" name="CustomerID" tableColumnId="1"/>
      <queryTableField id="2" name="CustomerName" tableColumnId="2"/>
      <queryTableField id="3" name="CustomerSegment" tableColumnId="3"/>
      <queryTableField id="4" name="JoinDate" tableColumnId="4"/>
      <queryTableField id="5" name="Email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F1F0576-F94A-4927-89BB-3F6D3BD91DD6}" autoFormatId="16" applyNumberFormats="0" applyBorderFormats="0" applyFontFormats="0" applyPatternFormats="0" applyAlignmentFormats="0" applyWidthHeightFormats="0">
  <queryTableRefresh nextId="20">
    <queryTableFields count="13">
      <queryTableField id="1" name="OrderID" tableColumnId="1"/>
      <queryTableField id="2" name="OrderDate" tableColumnId="2"/>
      <queryTableField id="16" name="City" tableColumnId="16"/>
      <queryTableField id="6" name="DeliveryCost" tableColumnId="6"/>
      <queryTableField id="7" name="Returned" tableColumnId="7"/>
      <queryTableField id="8" name="customers.CustomerName" tableColumnId="8"/>
      <queryTableField id="9" name="orderitems.Quantity" tableColumnId="9"/>
      <queryTableField id="10" name="orderitems.Discount" tableColumnId="10"/>
      <queryTableField id="11" name="products.Product" tableColumnId="11"/>
      <queryTableField id="12" name="products.Category" tableColumnId="12"/>
      <queryTableField id="13" name="products.Price" tableColumnId="13"/>
      <queryTableField id="14" name="Revenue" tableColumnId="14"/>
      <queryTableField id="18" name="MonthOrderDate" tableColumnId="1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FC7E6D-EE19-4302-95FD-93411E665FF9}" autoFormatId="16" applyNumberFormats="0" applyBorderFormats="0" applyFontFormats="0" applyPatternFormats="0" applyAlignmentFormats="0" applyWidthHeightFormats="0">
  <queryTableRefresh nextId="6">
    <queryTableFields count="5">
      <queryTableField id="1" name="CustomerID" tableColumnId="1"/>
      <queryTableField id="2" name="CustomerName" tableColumnId="2"/>
      <queryTableField id="3" name="CustomerSegment" tableColumnId="3"/>
      <queryTableField id="4" name="JoinDate" tableColumnId="4"/>
      <queryTableField id="5" name="Email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6BDECC1-3F3F-4062-9A89-7439964466B9}" autoFormatId="16" applyNumberFormats="0" applyBorderFormats="0" applyFontFormats="0" applyPatternFormats="0" applyAlignmentFormats="0" applyWidthHeightFormats="0">
  <queryTableRefresh nextId="5">
    <queryTableFields count="4">
      <queryTableField id="1" name="OrderID" tableColumnId="1"/>
      <queryTableField id="2" name="ProductID" tableColumnId="2"/>
      <queryTableField id="3" name="Quantity" tableColumnId="3"/>
      <queryTableField id="4" name="Discount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6171492-6D75-4F9D-B072-454F74232107}" autoFormatId="16" applyNumberFormats="0" applyBorderFormats="0" applyFontFormats="0" applyPatternFormats="0" applyAlignmentFormats="0" applyWidthHeightFormats="0">
  <queryTableRefresh nextId="8">
    <queryTableFields count="7">
      <queryTableField id="1" name="OrderID" tableColumnId="1"/>
      <queryTableField id="2" name="OrderDate" tableColumnId="2"/>
      <queryTableField id="3" name="CustomerID" tableColumnId="3"/>
      <queryTableField id="4" name="Region" tableColumnId="4"/>
      <queryTableField id="5" name="City" tableColumnId="5"/>
      <queryTableField id="6" name="DeliveryCost" tableColumnId="6"/>
      <queryTableField id="7" name="Returned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BB3F9AC3-1865-4AD9-9EC8-69A3D84395EB}" autoFormatId="16" applyNumberFormats="0" applyBorderFormats="0" applyFontFormats="0" applyPatternFormats="0" applyAlignmentFormats="0" applyWidthHeightFormats="0">
  <queryTableRefresh nextId="8">
    <queryTableFields count="7">
      <queryTableField id="1" name="ProductID" tableColumnId="1"/>
      <queryTableField id="2" name="Product" tableColumnId="2"/>
      <queryTableField id="3" name="Category" tableColumnId="3"/>
      <queryTableField id="4" name="SubCategory" tableColumnId="4"/>
      <queryTableField id="5" name="Price" tableColumnId="5"/>
      <queryTableField id="6" name="Weight" tableColumnId="6"/>
      <queryTableField id="7" name="InStock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5D393ED-F3C1-434C-A343-D5BD86BE8D1B}" name="sales_category" displayName="sales_category" ref="D25:G31" tableType="queryTable" totalsRowShown="0">
  <autoFilter ref="D25:G31" xr:uid="{5BD59703-60EB-4C44-9151-CAA070953138}"/>
  <tableColumns count="4">
    <tableColumn id="1" xr3:uid="{F4DE17C6-6C0C-471D-A37A-0225844BD3D0}" uniqueName="1" name="products.Category" queryTableFieldId="1" dataDxfId="34"/>
    <tableColumn id="2" xr3:uid="{A1BEC4BA-FBFF-423B-91A6-520C021F9F4F}" uniqueName="2" name="SumRevenue" queryTableFieldId="2"/>
    <tableColumn id="3" xr3:uid="{B340D259-F750-4F64-BCF3-A1C03DAB11BC}" uniqueName="3" name="AvgRevenue" queryTableFieldId="3"/>
    <tableColumn id="4" xr3:uid="{B5A5C652-37F8-40CF-81FA-1D906DF03EE2}" uniqueName="4" name="CountDistinctClients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A900F17-D606-4D0D-9894-C66C4E99CD40}" name="top5_product" displayName="top5_product" ref="A25:B30" tableType="queryTable" totalsRowShown="0">
  <autoFilter ref="A25:B30" xr:uid="{63DF315A-4D00-4670-8EEF-67B17C5AEB6A}"/>
  <tableColumns count="2">
    <tableColumn id="1" xr3:uid="{21A95063-5A4C-42EA-9CFD-8D2E9BBFB24C}" uniqueName="1" name="products.Product" queryTableFieldId="1" dataDxfId="33"/>
    <tableColumn id="2" xr3:uid="{18A57391-45C1-456D-B30E-896FBEBEA2F7}" uniqueName="2" name="SumRevenueProduc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DBCA60B-DC61-464F-8A28-7BA8D5F017A3}" name="new_customers" displayName="new_customers" ref="A2:E11" tableType="queryTable" totalsRowShown="0">
  <autoFilter ref="A2:E11" xr:uid="{C6387BB5-B8E1-435D-A6C1-409DC8C3EA4C}"/>
  <tableColumns count="5">
    <tableColumn id="1" xr3:uid="{D88F9F63-2E03-49EC-B218-5D91C26FC729}" uniqueName="1" name="CustomerID" queryTableFieldId="1" dataDxfId="32"/>
    <tableColumn id="2" xr3:uid="{B386D6CA-90D9-4433-8C3A-6A229E88628B}" uniqueName="2" name="CustomerName" queryTableFieldId="2" dataDxfId="31"/>
    <tableColumn id="3" xr3:uid="{4186D4B4-C604-4B46-82EF-CA54B5C9B18F}" uniqueName="3" name="CustomerSegment" queryTableFieldId="3" dataDxfId="30"/>
    <tableColumn id="4" xr3:uid="{AABC8C43-8DCD-4556-A3AA-B8CC76E025B1}" uniqueName="4" name="JoinDate" queryTableFieldId="4" dataDxfId="29"/>
    <tableColumn id="5" xr3:uid="{8B6B02B4-E67F-4A3D-93B6-6B13D2A4D1C4}" uniqueName="5" name="Email" queryTableFieldId="5" dataDxfId="2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D20588A-3FC3-45FF-B7F9-CCAD8C2B515D}" name="vip_customers" displayName="vip_customers" ref="A14:E24" tableType="queryTable" totalsRowShown="0">
  <autoFilter ref="A14:E24" xr:uid="{468F6D14-BBD3-43C6-A047-F503B3F274D0}"/>
  <tableColumns count="5">
    <tableColumn id="1" xr3:uid="{0DF8EB47-325F-4D15-BE4A-33D19A493D29}" uniqueName="1" name="CustomerID" queryTableFieldId="1" dataDxfId="27"/>
    <tableColumn id="2" xr3:uid="{56939799-4B5B-48E2-882A-12F74C662F17}" uniqueName="2" name="CustomerName" queryTableFieldId="2" dataDxfId="26"/>
    <tableColumn id="3" xr3:uid="{332ECF8D-B2B6-4E9D-AA63-14F3E98FE5A0}" uniqueName="3" name="CustomerSegment" queryTableFieldId="3" dataDxfId="25"/>
    <tableColumn id="4" xr3:uid="{CD1E21F2-1658-4BC7-A19B-80FF85033610}" uniqueName="4" name="JoinDate" queryTableFieldId="4" dataDxfId="24"/>
    <tableColumn id="5" xr3:uid="{A4B6D62E-BCAD-4568-8BA6-8C2D940CE0A9}" uniqueName="5" name="Email" queryTableFieldId="5" dataDxfId="2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5C9FD2-478A-4495-9077-671DFF50F122}" name="data_mart" displayName="data_mart" ref="A1:M41" tableType="queryTable" totalsRowShown="0">
  <autoFilter ref="A1:M41" xr:uid="{BC29A659-B301-4A09-B4A3-79A6BA07AB56}"/>
  <tableColumns count="13">
    <tableColumn id="1" xr3:uid="{A9A7F7F6-9C90-4D53-85D4-73FAFD82EB59}" uniqueName="1" name="OrderID" queryTableFieldId="1"/>
    <tableColumn id="2" xr3:uid="{D2B4C2CF-1A37-4E84-868B-712424DACDB7}" uniqueName="2" name="OrderDate" queryTableFieldId="2" dataDxfId="22"/>
    <tableColumn id="16" xr3:uid="{C47D96F1-EE4F-4FBD-A2EF-41121946CCEC}" uniqueName="16" name="City" queryTableFieldId="16" dataDxfId="21"/>
    <tableColumn id="6" xr3:uid="{DFE58F86-E9C6-4EDD-AEB2-68520004B513}" uniqueName="6" name="DeliveryCost" queryTableFieldId="6"/>
    <tableColumn id="7" xr3:uid="{54F588F6-FE20-47F6-901D-A4F94A34F2D7}" uniqueName="7" name="Returned" queryTableFieldId="7" dataDxfId="20"/>
    <tableColumn id="8" xr3:uid="{3E30D832-171D-4FD8-B9ED-3500557F58B0}" uniqueName="8" name="customers.CustomerName" queryTableFieldId="8" dataDxfId="19"/>
    <tableColumn id="9" xr3:uid="{B7C92375-19E6-4801-851B-C08D7BF14384}" uniqueName="9" name="orderitems.Quantity" queryTableFieldId="9"/>
    <tableColumn id="10" xr3:uid="{EE47E901-F096-4FBC-8651-0ABCC99A9CE2}" uniqueName="10" name="orderitems.Discount" queryTableFieldId="10"/>
    <tableColumn id="11" xr3:uid="{6521242E-B9AA-4210-BD94-0577E8BFDB89}" uniqueName="11" name="products.Product" queryTableFieldId="11" dataDxfId="18"/>
    <tableColumn id="12" xr3:uid="{DAEE06F8-56FF-4854-B6D7-60BCBC32DEE2}" uniqueName="12" name="products.Category" queryTableFieldId="12" dataDxfId="17"/>
    <tableColumn id="13" xr3:uid="{E58881EC-D9C1-4520-BA8E-2A3A8DBFC344}" uniqueName="13" name="products.Price" queryTableFieldId="13"/>
    <tableColumn id="14" xr3:uid="{E3548966-005D-4332-B99C-C3909D879B8D}" uniqueName="14" name="Revenue" queryTableFieldId="14"/>
    <tableColumn id="17" xr3:uid="{B76D44A7-893B-4E31-B9F2-A1C4638C4A55}" uniqueName="17" name="MonthOrderDate" queryTableFieldId="1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B0F42C-20D9-4585-8F97-38CE2E2B8B6C}" name="customers" displayName="customers" ref="A1:E31" tableType="queryTable" totalsRowShown="0">
  <autoFilter ref="A1:E31" xr:uid="{9D57E135-CED3-47A8-A48E-DFFB0BD9FBDB}"/>
  <tableColumns count="5">
    <tableColumn id="1" xr3:uid="{354250EF-B507-422A-8A56-0B2F9D9CE1E7}" uniqueName="1" name="CustomerID" queryTableFieldId="1" dataDxfId="16"/>
    <tableColumn id="2" xr3:uid="{823CFFBC-94DE-4AAC-A363-EB898062CC4E}" uniqueName="2" name="CustomerName" queryTableFieldId="2" dataDxfId="15"/>
    <tableColumn id="3" xr3:uid="{A0C71B3E-39C3-4056-A96D-46A8D37FF2CA}" uniqueName="3" name="CustomerSegment" queryTableFieldId="3" dataDxfId="14"/>
    <tableColumn id="4" xr3:uid="{B96BB82C-FACF-4BCA-9633-093EE56BCCA5}" uniqueName="4" name="JoinDate" queryTableFieldId="4" dataDxfId="13"/>
    <tableColumn id="5" xr3:uid="{ED595BCD-C20A-4475-8DA8-9CF6BBE66FBD}" uniqueName="5" name="Email" queryTableFieldId="5" dataDxfId="1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7CBA11-8B35-43D5-99F5-D01354A5DB91}" name="orderitems" displayName="orderitems" ref="A1:D41" tableType="queryTable" totalsRowShown="0">
  <autoFilter ref="A1:D41" xr:uid="{8AB60360-B5CE-49BE-99C6-ECBF73016E6F}"/>
  <tableColumns count="4">
    <tableColumn id="1" xr3:uid="{28849E53-60C8-4CF8-BFB2-38EFA41A0AF2}" uniqueName="1" name="OrderID" queryTableFieldId="1"/>
    <tableColumn id="2" xr3:uid="{3C0BD65A-84A5-42AD-9BCC-D60A600EA1F4}" uniqueName="2" name="ProductID" queryTableFieldId="2" dataDxfId="11"/>
    <tableColumn id="3" xr3:uid="{E9D015BA-B30C-4F58-B751-727F368CF463}" uniqueName="3" name="Quantity" queryTableFieldId="3"/>
    <tableColumn id="4" xr3:uid="{46D60D6F-CACF-4BBA-BD09-ED9637A4B687}" uniqueName="4" name="Discount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50624E-C703-41AB-BAA8-68B72E4C9D4C}" name="orders" displayName="orders" ref="A1:G41" tableType="queryTable" totalsRowShown="0">
  <autoFilter ref="A1:G41" xr:uid="{1E7B368D-06E4-4858-89B6-E5240D9DE756}"/>
  <tableColumns count="7">
    <tableColumn id="1" xr3:uid="{D8B21E50-2A23-4FF5-82D9-3EE6EC836D47}" uniqueName="1" name="OrderID" queryTableFieldId="1"/>
    <tableColumn id="2" xr3:uid="{B967ACE3-7EBA-41B0-A58C-7DE873E00F58}" uniqueName="2" name="OrderDate" queryTableFieldId="2" dataDxfId="10"/>
    <tableColumn id="3" xr3:uid="{D20321E3-06FD-4E31-83CF-74FAEFAFC02A}" uniqueName="3" name="CustomerID" queryTableFieldId="3" dataDxfId="9"/>
    <tableColumn id="4" xr3:uid="{CF223196-EFD0-4564-BBE3-E74900F846EF}" uniqueName="4" name="Region" queryTableFieldId="4" dataDxfId="8"/>
    <tableColumn id="5" xr3:uid="{5DE28D42-427B-4B9C-A87F-22C1324CEBF6}" uniqueName="5" name="City" queryTableFieldId="5" dataDxfId="7"/>
    <tableColumn id="6" xr3:uid="{88B5F591-BD85-4159-B867-B429B337F6E8}" uniqueName="6" name="DeliveryCost" queryTableFieldId="6"/>
    <tableColumn id="7" xr3:uid="{DD304E14-1FAC-466D-86DC-282A7F0A8351}" uniqueName="7" name="Returned" queryTableFieldId="7" dataDxf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6A34CA-AF26-415B-BF93-A98356CF6A8B}" name="products" displayName="products" ref="A1:G26" tableType="queryTable" totalsRowShown="0">
  <autoFilter ref="A1:G26" xr:uid="{BBB935B5-53B9-4F7C-8CBA-CEF824875BE0}"/>
  <tableColumns count="7">
    <tableColumn id="1" xr3:uid="{629F27FF-D7FF-40A8-9ECF-ECB29D894B7A}" uniqueName="1" name="ProductID" queryTableFieldId="1" dataDxfId="5"/>
    <tableColumn id="2" xr3:uid="{CFC78257-1644-420C-A08C-7AC966920C3E}" uniqueName="2" name="Product" queryTableFieldId="2" dataDxfId="4"/>
    <tableColumn id="3" xr3:uid="{65C07CF8-0D0F-4DB0-9EDB-E1BB3E2F6CD7}" uniqueName="3" name="Category" queryTableFieldId="3" dataDxfId="3"/>
    <tableColumn id="4" xr3:uid="{CB9E5640-6C70-4726-94BE-67EC5D3CBA74}" uniqueName="4" name="SubCategory" queryTableFieldId="4" dataDxfId="2"/>
    <tableColumn id="5" xr3:uid="{AC8A232C-F87D-49F4-A0E1-4EF781CA4FA5}" uniqueName="5" name="Price" queryTableFieldId="5"/>
    <tableColumn id="6" xr3:uid="{A5CCC8F0-6A34-4052-AC34-134CF3A789C4}" uniqueName="6" name="Weight" queryTableFieldId="6" dataDxfId="1"/>
    <tableColumn id="7" xr3:uid="{3971B3DA-315E-496E-9D74-C0D95E228B2D}" uniqueName="7" name="InStock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8FDBA-A631-4553-A14D-16088FA18DB2}">
  <dimension ref="A1:C14"/>
  <sheetViews>
    <sheetView tabSelected="1" workbookViewId="0">
      <selection activeCell="A6" sqref="A6"/>
    </sheetView>
  </sheetViews>
  <sheetFormatPr defaultRowHeight="14.4" x14ac:dyDescent="0.3"/>
  <cols>
    <col min="1" max="1" width="30" customWidth="1"/>
    <col min="2" max="2" width="53.19921875" customWidth="1"/>
    <col min="3" max="3" width="41.8984375" customWidth="1"/>
  </cols>
  <sheetData>
    <row r="1" spans="1:3" ht="15.55" x14ac:dyDescent="0.3">
      <c r="A1" s="8" t="s">
        <v>252</v>
      </c>
      <c r="B1" s="8"/>
      <c r="C1" s="8"/>
    </row>
    <row r="2" spans="1:3" ht="15" x14ac:dyDescent="0.3">
      <c r="A2" s="9" t="s">
        <v>253</v>
      </c>
      <c r="B2" s="9"/>
      <c r="C2" s="9"/>
    </row>
    <row r="3" spans="1:3" ht="30.7" customHeight="1" x14ac:dyDescent="0.3">
      <c r="A3" s="11" t="s">
        <v>257</v>
      </c>
      <c r="B3" s="11"/>
      <c r="C3" s="11"/>
    </row>
    <row r="4" spans="1:3" x14ac:dyDescent="0.3">
      <c r="A4" s="2" t="s">
        <v>131</v>
      </c>
      <c r="B4" t="s">
        <v>240</v>
      </c>
      <c r="C4" t="s">
        <v>251</v>
      </c>
    </row>
    <row r="5" spans="1:3" x14ac:dyDescent="0.3">
      <c r="A5" s="3" t="s">
        <v>135</v>
      </c>
      <c r="B5">
        <v>139060</v>
      </c>
      <c r="C5">
        <v>11227</v>
      </c>
    </row>
    <row r="6" spans="1:3" x14ac:dyDescent="0.3">
      <c r="A6" s="3" t="s">
        <v>133</v>
      </c>
      <c r="B6">
        <v>392055</v>
      </c>
      <c r="C6">
        <v>29593</v>
      </c>
    </row>
    <row r="7" spans="1:3" x14ac:dyDescent="0.3">
      <c r="A7" s="3" t="s">
        <v>232</v>
      </c>
      <c r="B7">
        <v>531115</v>
      </c>
      <c r="C7">
        <v>40820</v>
      </c>
    </row>
    <row r="9" spans="1:3" ht="15.55" x14ac:dyDescent="0.3">
      <c r="A9" s="8" t="s">
        <v>255</v>
      </c>
      <c r="B9" s="8"/>
      <c r="C9" s="8"/>
    </row>
    <row r="10" spans="1:3" ht="17.45" customHeight="1" x14ac:dyDescent="0.3">
      <c r="A10" s="10" t="s">
        <v>256</v>
      </c>
      <c r="B10" s="10"/>
      <c r="C10" s="10"/>
    </row>
    <row r="11" spans="1:3" ht="59.5" customHeight="1" x14ac:dyDescent="0.3">
      <c r="A11" s="7" t="s">
        <v>258</v>
      </c>
      <c r="B11" s="7"/>
      <c r="C11" s="7"/>
    </row>
    <row r="12" spans="1:3" ht="15.55" x14ac:dyDescent="0.3">
      <c r="A12" s="6"/>
    </row>
    <row r="13" spans="1:3" ht="15.55" x14ac:dyDescent="0.3">
      <c r="A13" s="8" t="s">
        <v>254</v>
      </c>
      <c r="B13" s="8"/>
      <c r="C13" s="8"/>
    </row>
    <row r="14" spans="1:3" ht="199.15" customHeight="1" x14ac:dyDescent="0.3">
      <c r="A14" s="7" t="s">
        <v>259</v>
      </c>
      <c r="B14" s="7"/>
      <c r="C14" s="7"/>
    </row>
  </sheetData>
  <mergeCells count="8">
    <mergeCell ref="A14:C14"/>
    <mergeCell ref="A11:C11"/>
    <mergeCell ref="A1:C1"/>
    <mergeCell ref="A9:C9"/>
    <mergeCell ref="A2:C2"/>
    <mergeCell ref="A13:C13"/>
    <mergeCell ref="A10:C10"/>
    <mergeCell ref="A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A5CB-8F30-43A9-8920-E7736D4AF1B5}">
  <dimension ref="A2:G31"/>
  <sheetViews>
    <sheetView workbookViewId="0">
      <selection activeCell="D4" sqref="D4"/>
    </sheetView>
  </sheetViews>
  <sheetFormatPr defaultRowHeight="14.4" x14ac:dyDescent="0.3"/>
  <cols>
    <col min="1" max="1" width="18" bestFit="1" customWidth="1"/>
    <col min="2" max="2" width="21.19921875" bestFit="1" customWidth="1"/>
    <col min="3" max="3" width="4.296875" customWidth="1"/>
    <col min="4" max="4" width="18.8984375" bestFit="1" customWidth="1"/>
    <col min="5" max="5" width="14.296875" bestFit="1" customWidth="1"/>
    <col min="6" max="6" width="13.796875" bestFit="1" customWidth="1"/>
    <col min="7" max="7" width="20.296875" bestFit="1" customWidth="1"/>
    <col min="8" max="8" width="23" bestFit="1" customWidth="1"/>
    <col min="9" max="9" width="22.19921875" bestFit="1" customWidth="1"/>
  </cols>
  <sheetData>
    <row r="2" spans="1:6" ht="15.55" x14ac:dyDescent="0.3">
      <c r="A2" s="5" t="s">
        <v>249</v>
      </c>
      <c r="D2" s="5" t="s">
        <v>250</v>
      </c>
    </row>
    <row r="3" spans="1:6" x14ac:dyDescent="0.3">
      <c r="A3" s="2" t="s">
        <v>241</v>
      </c>
      <c r="B3" t="s">
        <v>240</v>
      </c>
      <c r="D3" s="2" t="s">
        <v>129</v>
      </c>
      <c r="E3" t="s">
        <v>240</v>
      </c>
      <c r="F3" s="2"/>
    </row>
    <row r="4" spans="1:6" x14ac:dyDescent="0.3">
      <c r="A4" s="3" t="s">
        <v>242</v>
      </c>
      <c r="B4">
        <v>203100</v>
      </c>
      <c r="D4" s="3" t="s">
        <v>132</v>
      </c>
      <c r="E4">
        <v>137150</v>
      </c>
    </row>
    <row r="5" spans="1:6" x14ac:dyDescent="0.3">
      <c r="A5" s="3" t="s">
        <v>244</v>
      </c>
      <c r="B5">
        <v>59355</v>
      </c>
      <c r="D5" s="3" t="s">
        <v>139</v>
      </c>
      <c r="E5">
        <v>94045</v>
      </c>
    </row>
    <row r="6" spans="1:6" x14ac:dyDescent="0.3">
      <c r="A6" s="3" t="s">
        <v>245</v>
      </c>
      <c r="B6">
        <v>20305</v>
      </c>
      <c r="D6" s="3" t="s">
        <v>134</v>
      </c>
      <c r="E6">
        <v>93160</v>
      </c>
    </row>
    <row r="7" spans="1:6" x14ac:dyDescent="0.3">
      <c r="A7" s="3" t="s">
        <v>243</v>
      </c>
      <c r="B7">
        <v>96320</v>
      </c>
      <c r="D7" s="3" t="s">
        <v>137</v>
      </c>
      <c r="E7">
        <v>77080</v>
      </c>
    </row>
    <row r="8" spans="1:6" x14ac:dyDescent="0.3">
      <c r="A8" s="3" t="s">
        <v>246</v>
      </c>
      <c r="B8">
        <v>77920</v>
      </c>
      <c r="D8" s="3" t="s">
        <v>140</v>
      </c>
      <c r="E8">
        <v>75190</v>
      </c>
    </row>
    <row r="9" spans="1:6" x14ac:dyDescent="0.3">
      <c r="A9" s="3" t="s">
        <v>247</v>
      </c>
      <c r="B9">
        <v>53810</v>
      </c>
      <c r="D9" s="3" t="s">
        <v>138</v>
      </c>
      <c r="E9">
        <v>35245</v>
      </c>
    </row>
    <row r="10" spans="1:6" x14ac:dyDescent="0.3">
      <c r="A10" s="3" t="s">
        <v>248</v>
      </c>
      <c r="B10">
        <v>20305</v>
      </c>
      <c r="D10" s="3" t="s">
        <v>136</v>
      </c>
      <c r="E10">
        <v>19245</v>
      </c>
    </row>
    <row r="11" spans="1:6" x14ac:dyDescent="0.3">
      <c r="A11" s="3" t="s">
        <v>232</v>
      </c>
      <c r="B11">
        <v>531115</v>
      </c>
      <c r="D11" s="3" t="s">
        <v>232</v>
      </c>
      <c r="E11">
        <v>531115</v>
      </c>
    </row>
    <row r="12" spans="1:6" x14ac:dyDescent="0.3">
      <c r="A12" s="3"/>
      <c r="D12" s="3"/>
    </row>
    <row r="24" spans="1:7" ht="15.55" x14ac:dyDescent="0.3">
      <c r="A24" s="4" t="s">
        <v>237</v>
      </c>
      <c r="D24" s="4" t="s">
        <v>236</v>
      </c>
    </row>
    <row r="25" spans="1:7" x14ac:dyDescent="0.3">
      <c r="A25" t="s">
        <v>227</v>
      </c>
      <c r="B25" t="s">
        <v>235</v>
      </c>
      <c r="D25" t="s">
        <v>228</v>
      </c>
      <c r="E25" t="s">
        <v>233</v>
      </c>
      <c r="F25" t="s">
        <v>231</v>
      </c>
      <c r="G25" t="s">
        <v>234</v>
      </c>
    </row>
    <row r="26" spans="1:7" x14ac:dyDescent="0.3">
      <c r="A26" t="s">
        <v>157</v>
      </c>
      <c r="B26">
        <v>145420</v>
      </c>
      <c r="D26" t="s">
        <v>158</v>
      </c>
      <c r="E26">
        <v>475060</v>
      </c>
      <c r="F26">
        <v>18271.54</v>
      </c>
      <c r="G26">
        <v>26</v>
      </c>
    </row>
    <row r="27" spans="1:7" x14ac:dyDescent="0.3">
      <c r="A27" t="s">
        <v>161</v>
      </c>
      <c r="B27">
        <v>120100</v>
      </c>
      <c r="D27" t="s">
        <v>165</v>
      </c>
      <c r="E27">
        <v>1830</v>
      </c>
      <c r="F27">
        <v>915</v>
      </c>
      <c r="G27">
        <v>2</v>
      </c>
    </row>
    <row r="28" spans="1:7" x14ac:dyDescent="0.3">
      <c r="A28" t="s">
        <v>175</v>
      </c>
      <c r="B28">
        <v>60060</v>
      </c>
      <c r="D28" t="s">
        <v>172</v>
      </c>
      <c r="E28">
        <v>7360</v>
      </c>
      <c r="F28">
        <v>2453.33</v>
      </c>
      <c r="G28">
        <v>3</v>
      </c>
    </row>
    <row r="29" spans="1:7" x14ac:dyDescent="0.3">
      <c r="A29" t="s">
        <v>185</v>
      </c>
      <c r="B29">
        <v>58350</v>
      </c>
      <c r="D29" t="s">
        <v>179</v>
      </c>
      <c r="E29">
        <v>2780</v>
      </c>
      <c r="F29">
        <v>1390</v>
      </c>
      <c r="G29">
        <v>2</v>
      </c>
    </row>
    <row r="30" spans="1:7" x14ac:dyDescent="0.3">
      <c r="A30" t="s">
        <v>198</v>
      </c>
      <c r="B30">
        <v>28650</v>
      </c>
      <c r="D30" t="s">
        <v>182</v>
      </c>
      <c r="E30">
        <v>20430</v>
      </c>
      <c r="F30">
        <v>10215</v>
      </c>
      <c r="G30">
        <v>2</v>
      </c>
    </row>
    <row r="31" spans="1:7" x14ac:dyDescent="0.3">
      <c r="D31" t="s">
        <v>189</v>
      </c>
      <c r="E31">
        <v>23655</v>
      </c>
      <c r="F31">
        <v>4731</v>
      </c>
      <c r="G31">
        <v>5</v>
      </c>
    </row>
  </sheetData>
  <pageMargins left="0.7" right="0.7" top="0.75" bottom="0.75" header="0.3" footer="0.3"/>
  <drawing r:id="rId3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9C0EF-FF57-4931-8778-F9B229029356}">
  <dimension ref="A1:E24"/>
  <sheetViews>
    <sheetView workbookViewId="0">
      <selection activeCell="C26" sqref="C26"/>
    </sheetView>
  </sheetViews>
  <sheetFormatPr defaultRowHeight="14.4" x14ac:dyDescent="0.3"/>
  <cols>
    <col min="1" max="1" width="14.796875" bestFit="1" customWidth="1"/>
    <col min="2" max="2" width="16.3984375" bestFit="1" customWidth="1"/>
    <col min="3" max="3" width="18.8984375" bestFit="1" customWidth="1"/>
    <col min="4" max="4" width="10.3984375" bestFit="1" customWidth="1"/>
    <col min="5" max="5" width="19.3984375" bestFit="1" customWidth="1"/>
  </cols>
  <sheetData>
    <row r="1" spans="1:5" ht="15.55" x14ac:dyDescent="0.3">
      <c r="A1" s="4" t="s">
        <v>238</v>
      </c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95</v>
      </c>
      <c r="B3" t="s">
        <v>96</v>
      </c>
      <c r="C3" t="s">
        <v>15</v>
      </c>
      <c r="D3" s="1">
        <v>45036</v>
      </c>
      <c r="E3" t="s">
        <v>97</v>
      </c>
    </row>
    <row r="4" spans="1:5" x14ac:dyDescent="0.3">
      <c r="A4" t="s">
        <v>38</v>
      </c>
      <c r="B4" t="s">
        <v>39</v>
      </c>
      <c r="C4" t="s">
        <v>15</v>
      </c>
      <c r="D4" s="1">
        <v>45005</v>
      </c>
      <c r="E4" t="s">
        <v>40</v>
      </c>
    </row>
    <row r="5" spans="1:5" x14ac:dyDescent="0.3">
      <c r="A5" t="s">
        <v>68</v>
      </c>
      <c r="B5" t="s">
        <v>69</v>
      </c>
      <c r="C5" t="s">
        <v>15</v>
      </c>
      <c r="D5" s="1">
        <v>44995</v>
      </c>
      <c r="E5" t="s">
        <v>70</v>
      </c>
    </row>
    <row r="6" spans="1:5" x14ac:dyDescent="0.3">
      <c r="A6" t="s">
        <v>59</v>
      </c>
      <c r="B6" t="s">
        <v>60</v>
      </c>
      <c r="C6" t="s">
        <v>15</v>
      </c>
      <c r="D6" s="1">
        <v>44972</v>
      </c>
      <c r="E6" t="s">
        <v>61</v>
      </c>
    </row>
    <row r="7" spans="1:5" x14ac:dyDescent="0.3">
      <c r="A7" t="s">
        <v>26</v>
      </c>
      <c r="B7" t="s">
        <v>27</v>
      </c>
      <c r="C7" t="s">
        <v>15</v>
      </c>
      <c r="D7" s="1">
        <v>44969</v>
      </c>
      <c r="E7" t="s">
        <v>28</v>
      </c>
    </row>
    <row r="8" spans="1:5" x14ac:dyDescent="0.3">
      <c r="A8" t="s">
        <v>86</v>
      </c>
      <c r="B8" t="s">
        <v>87</v>
      </c>
      <c r="C8" t="s">
        <v>15</v>
      </c>
      <c r="D8" s="1">
        <v>44962</v>
      </c>
      <c r="E8" t="s">
        <v>88</v>
      </c>
    </row>
    <row r="9" spans="1:5" x14ac:dyDescent="0.3">
      <c r="A9" t="s">
        <v>77</v>
      </c>
      <c r="B9" t="s">
        <v>78</v>
      </c>
      <c r="C9" t="s">
        <v>15</v>
      </c>
      <c r="D9" s="1">
        <v>44944</v>
      </c>
      <c r="E9" t="s">
        <v>79</v>
      </c>
    </row>
    <row r="10" spans="1:5" x14ac:dyDescent="0.3">
      <c r="A10" t="s">
        <v>13</v>
      </c>
      <c r="B10" t="s">
        <v>14</v>
      </c>
      <c r="C10" t="s">
        <v>15</v>
      </c>
      <c r="D10" s="1">
        <v>44936</v>
      </c>
      <c r="E10" t="s">
        <v>16</v>
      </c>
    </row>
    <row r="11" spans="1:5" x14ac:dyDescent="0.3">
      <c r="A11" t="s">
        <v>50</v>
      </c>
      <c r="B11" t="s">
        <v>51</v>
      </c>
      <c r="C11" t="s">
        <v>15</v>
      </c>
      <c r="D11" s="1">
        <v>44931</v>
      </c>
      <c r="E11" t="s">
        <v>52</v>
      </c>
    </row>
    <row r="13" spans="1:5" ht="15.55" x14ac:dyDescent="0.3">
      <c r="A13" s="4" t="s">
        <v>239</v>
      </c>
    </row>
    <row r="14" spans="1:5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</row>
    <row r="15" spans="1:5" x14ac:dyDescent="0.3">
      <c r="A15" t="s">
        <v>80</v>
      </c>
      <c r="B15" t="s">
        <v>81</v>
      </c>
      <c r="C15" t="s">
        <v>7</v>
      </c>
      <c r="D15" s="1">
        <v>44843</v>
      </c>
      <c r="E15" t="s">
        <v>82</v>
      </c>
    </row>
    <row r="16" spans="1:5" x14ac:dyDescent="0.3">
      <c r="A16" t="s">
        <v>23</v>
      </c>
      <c r="B16" t="s">
        <v>24</v>
      </c>
      <c r="C16" t="s">
        <v>7</v>
      </c>
      <c r="D16" s="1">
        <v>44834</v>
      </c>
      <c r="E16" t="s">
        <v>25</v>
      </c>
    </row>
    <row r="17" spans="1:5" x14ac:dyDescent="0.3">
      <c r="A17" t="s">
        <v>53</v>
      </c>
      <c r="B17" t="s">
        <v>54</v>
      </c>
      <c r="C17" t="s">
        <v>7</v>
      </c>
      <c r="D17" s="1">
        <v>44823</v>
      </c>
      <c r="E17" t="s">
        <v>55</v>
      </c>
    </row>
    <row r="18" spans="1:5" x14ac:dyDescent="0.3">
      <c r="A18" t="s">
        <v>5</v>
      </c>
      <c r="B18" t="s">
        <v>6</v>
      </c>
      <c r="C18" t="s">
        <v>7</v>
      </c>
      <c r="D18" s="1">
        <v>44635</v>
      </c>
      <c r="E18" t="s">
        <v>8</v>
      </c>
    </row>
    <row r="19" spans="1:5" x14ac:dyDescent="0.3">
      <c r="A19" t="s">
        <v>71</v>
      </c>
      <c r="B19" t="s">
        <v>72</v>
      </c>
      <c r="C19" t="s">
        <v>7</v>
      </c>
      <c r="D19" s="1">
        <v>44542</v>
      </c>
      <c r="E19" t="s">
        <v>73</v>
      </c>
    </row>
    <row r="20" spans="1:5" x14ac:dyDescent="0.3">
      <c r="A20" t="s">
        <v>32</v>
      </c>
      <c r="B20" t="s">
        <v>33</v>
      </c>
      <c r="C20" t="s">
        <v>7</v>
      </c>
      <c r="D20" s="1">
        <v>44538</v>
      </c>
      <c r="E20" t="s">
        <v>34</v>
      </c>
    </row>
    <row r="21" spans="1:5" x14ac:dyDescent="0.3">
      <c r="A21" t="s">
        <v>89</v>
      </c>
      <c r="B21" t="s">
        <v>90</v>
      </c>
      <c r="C21" t="s">
        <v>7</v>
      </c>
      <c r="D21" s="1">
        <v>44514</v>
      </c>
      <c r="E21" t="s">
        <v>91</v>
      </c>
    </row>
    <row r="22" spans="1:5" x14ac:dyDescent="0.3">
      <c r="A22" t="s">
        <v>62</v>
      </c>
      <c r="B22" t="s">
        <v>63</v>
      </c>
      <c r="C22" t="s">
        <v>7</v>
      </c>
      <c r="D22" s="1">
        <v>44507</v>
      </c>
      <c r="E22" t="s">
        <v>64</v>
      </c>
    </row>
    <row r="23" spans="1:5" x14ac:dyDescent="0.3">
      <c r="A23" t="s">
        <v>17</v>
      </c>
      <c r="B23" t="s">
        <v>18</v>
      </c>
      <c r="C23" t="s">
        <v>7</v>
      </c>
      <c r="D23" s="1">
        <v>44505</v>
      </c>
      <c r="E23" t="s">
        <v>19</v>
      </c>
    </row>
    <row r="24" spans="1:5" x14ac:dyDescent="0.3">
      <c r="A24" t="s">
        <v>44</v>
      </c>
      <c r="B24" t="s">
        <v>45</v>
      </c>
      <c r="C24" t="s">
        <v>7</v>
      </c>
      <c r="D24" s="1">
        <v>44480</v>
      </c>
      <c r="E24" t="s">
        <v>46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49E1-4A1E-4D8A-BA10-C06C8561CC20}">
  <dimension ref="A1:M41"/>
  <sheetViews>
    <sheetView workbookViewId="0">
      <selection activeCell="C9" sqref="C9"/>
    </sheetView>
  </sheetViews>
  <sheetFormatPr defaultRowHeight="14.4" x14ac:dyDescent="0.3"/>
  <cols>
    <col min="1" max="1" width="9.796875" bestFit="1" customWidth="1"/>
    <col min="2" max="2" width="11.8984375" bestFit="1" customWidth="1"/>
    <col min="3" max="3" width="15.296875" bestFit="1" customWidth="1"/>
    <col min="4" max="4" width="13.69921875" bestFit="1" customWidth="1"/>
    <col min="5" max="5" width="11" bestFit="1" customWidth="1"/>
    <col min="6" max="6" width="25.8984375" bestFit="1" customWidth="1"/>
    <col min="7" max="8" width="20.3984375" bestFit="1" customWidth="1"/>
    <col min="9" max="9" width="18" bestFit="1" customWidth="1"/>
    <col min="10" max="10" width="18.8984375" bestFit="1" customWidth="1"/>
    <col min="11" max="11" width="15.3984375" bestFit="1" customWidth="1"/>
    <col min="12" max="12" width="10.59765625" bestFit="1" customWidth="1"/>
    <col min="13" max="13" width="17.796875" bestFit="1" customWidth="1"/>
    <col min="14" max="14" width="12.3984375" bestFit="1" customWidth="1"/>
    <col min="15" max="15" width="18.796875" customWidth="1"/>
    <col min="16" max="16" width="15.296875" bestFit="1" customWidth="1"/>
    <col min="17" max="17" width="13.69921875" bestFit="1" customWidth="1"/>
    <col min="18" max="18" width="11" bestFit="1" customWidth="1"/>
  </cols>
  <sheetData>
    <row r="1" spans="1:13" x14ac:dyDescent="0.3">
      <c r="A1" t="s">
        <v>98</v>
      </c>
      <c r="B1" t="s">
        <v>127</v>
      </c>
      <c r="C1" t="s">
        <v>129</v>
      </c>
      <c r="D1" t="s">
        <v>130</v>
      </c>
      <c r="E1" t="s">
        <v>131</v>
      </c>
      <c r="F1" t="s">
        <v>224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  <c r="L1" t="s">
        <v>230</v>
      </c>
      <c r="M1" t="s">
        <v>241</v>
      </c>
    </row>
    <row r="2" spans="1:13" x14ac:dyDescent="0.3">
      <c r="A2">
        <v>1001</v>
      </c>
      <c r="B2" s="1">
        <v>44931</v>
      </c>
      <c r="C2" t="s">
        <v>132</v>
      </c>
      <c r="D2">
        <v>500</v>
      </c>
      <c r="E2" t="s">
        <v>133</v>
      </c>
      <c r="F2" t="s">
        <v>6</v>
      </c>
      <c r="G2">
        <v>1</v>
      </c>
      <c r="H2">
        <v>0.05</v>
      </c>
      <c r="I2" t="s">
        <v>157</v>
      </c>
      <c r="J2" t="s">
        <v>158</v>
      </c>
      <c r="K2">
        <v>75000</v>
      </c>
      <c r="L2">
        <v>70750</v>
      </c>
      <c r="M2" t="s">
        <v>242</v>
      </c>
    </row>
    <row r="3" spans="1:13" x14ac:dyDescent="0.3">
      <c r="A3">
        <v>1026</v>
      </c>
      <c r="B3" s="1">
        <v>45041</v>
      </c>
      <c r="C3" t="s">
        <v>139</v>
      </c>
      <c r="D3">
        <v>330</v>
      </c>
      <c r="E3" t="s">
        <v>133</v>
      </c>
      <c r="F3" t="s">
        <v>84</v>
      </c>
      <c r="G3">
        <v>1</v>
      </c>
      <c r="H3">
        <v>0</v>
      </c>
      <c r="I3" t="s">
        <v>157</v>
      </c>
      <c r="J3" t="s">
        <v>158</v>
      </c>
      <c r="K3">
        <v>75000</v>
      </c>
      <c r="L3">
        <v>74670</v>
      </c>
      <c r="M3" t="s">
        <v>243</v>
      </c>
    </row>
    <row r="4" spans="1:13" x14ac:dyDescent="0.3">
      <c r="A4">
        <v>1002</v>
      </c>
      <c r="B4" s="1">
        <v>44933</v>
      </c>
      <c r="C4" t="s">
        <v>134</v>
      </c>
      <c r="D4">
        <v>300</v>
      </c>
      <c r="E4" t="s">
        <v>135</v>
      </c>
      <c r="F4" t="s">
        <v>10</v>
      </c>
      <c r="G4">
        <v>2</v>
      </c>
      <c r="H4">
        <v>0.1</v>
      </c>
      <c r="I4" t="s">
        <v>161</v>
      </c>
      <c r="J4" t="s">
        <v>158</v>
      </c>
      <c r="K4">
        <v>45000</v>
      </c>
      <c r="L4">
        <v>80700</v>
      </c>
      <c r="M4" t="s">
        <v>242</v>
      </c>
    </row>
    <row r="5" spans="1:13" x14ac:dyDescent="0.3">
      <c r="A5">
        <v>1003</v>
      </c>
      <c r="B5" s="1">
        <v>44936</v>
      </c>
      <c r="C5" t="s">
        <v>136</v>
      </c>
      <c r="D5">
        <v>200</v>
      </c>
      <c r="E5" t="s">
        <v>133</v>
      </c>
      <c r="F5" t="s">
        <v>14</v>
      </c>
      <c r="G5">
        <v>3</v>
      </c>
      <c r="H5">
        <v>0</v>
      </c>
      <c r="I5" t="s">
        <v>164</v>
      </c>
      <c r="J5" t="s">
        <v>165</v>
      </c>
      <c r="K5">
        <v>500</v>
      </c>
      <c r="L5">
        <v>1300</v>
      </c>
      <c r="M5" t="s">
        <v>242</v>
      </c>
    </row>
    <row r="6" spans="1:13" x14ac:dyDescent="0.3">
      <c r="A6">
        <v>1004</v>
      </c>
      <c r="B6" s="1">
        <v>44938</v>
      </c>
      <c r="C6" t="s">
        <v>132</v>
      </c>
      <c r="D6">
        <v>250</v>
      </c>
      <c r="E6" t="s">
        <v>133</v>
      </c>
      <c r="F6" t="s">
        <v>18</v>
      </c>
      <c r="G6">
        <v>1</v>
      </c>
      <c r="H6">
        <v>0.15</v>
      </c>
      <c r="I6" t="s">
        <v>168</v>
      </c>
      <c r="J6" t="s">
        <v>158</v>
      </c>
      <c r="K6">
        <v>8000</v>
      </c>
      <c r="L6">
        <v>6550</v>
      </c>
      <c r="M6" t="s">
        <v>242</v>
      </c>
    </row>
    <row r="7" spans="1:13" x14ac:dyDescent="0.3">
      <c r="A7">
        <v>1005</v>
      </c>
      <c r="B7" s="1">
        <v>44941</v>
      </c>
      <c r="C7" t="s">
        <v>137</v>
      </c>
      <c r="D7">
        <v>150</v>
      </c>
      <c r="E7" t="s">
        <v>133</v>
      </c>
      <c r="F7" t="s">
        <v>21</v>
      </c>
      <c r="G7">
        <v>5</v>
      </c>
      <c r="H7">
        <v>0</v>
      </c>
      <c r="I7" t="s">
        <v>171</v>
      </c>
      <c r="J7" t="s">
        <v>172</v>
      </c>
      <c r="K7">
        <v>350</v>
      </c>
      <c r="L7">
        <v>1600</v>
      </c>
      <c r="M7" t="s">
        <v>242</v>
      </c>
    </row>
    <row r="8" spans="1:13" x14ac:dyDescent="0.3">
      <c r="A8">
        <v>1006</v>
      </c>
      <c r="B8" s="1">
        <v>44946</v>
      </c>
      <c r="C8" t="s">
        <v>137</v>
      </c>
      <c r="D8">
        <v>400</v>
      </c>
      <c r="E8" t="s">
        <v>135</v>
      </c>
      <c r="F8" t="s">
        <v>24</v>
      </c>
      <c r="G8">
        <v>1</v>
      </c>
      <c r="H8">
        <v>0.05</v>
      </c>
      <c r="I8" t="s">
        <v>175</v>
      </c>
      <c r="J8" t="s">
        <v>158</v>
      </c>
      <c r="K8">
        <v>32000</v>
      </c>
      <c r="L8">
        <v>30000</v>
      </c>
      <c r="M8" t="s">
        <v>242</v>
      </c>
    </row>
    <row r="9" spans="1:13" x14ac:dyDescent="0.3">
      <c r="A9">
        <v>1007</v>
      </c>
      <c r="B9" s="1">
        <v>44951</v>
      </c>
      <c r="C9" t="s">
        <v>132</v>
      </c>
      <c r="D9">
        <v>200</v>
      </c>
      <c r="E9" t="s">
        <v>133</v>
      </c>
      <c r="F9" t="s">
        <v>27</v>
      </c>
      <c r="G9">
        <v>2</v>
      </c>
      <c r="H9">
        <v>0.2</v>
      </c>
      <c r="I9" t="s">
        <v>178</v>
      </c>
      <c r="J9" t="s">
        <v>179</v>
      </c>
      <c r="K9">
        <v>1500</v>
      </c>
      <c r="L9">
        <v>2200</v>
      </c>
      <c r="M9" t="s">
        <v>242</v>
      </c>
    </row>
    <row r="10" spans="1:13" x14ac:dyDescent="0.3">
      <c r="A10">
        <v>1008</v>
      </c>
      <c r="B10" s="1">
        <v>44956</v>
      </c>
      <c r="C10" t="s">
        <v>138</v>
      </c>
      <c r="D10">
        <v>800</v>
      </c>
      <c r="E10" t="s">
        <v>133</v>
      </c>
      <c r="F10" t="s">
        <v>30</v>
      </c>
      <c r="G10">
        <v>1</v>
      </c>
      <c r="H10">
        <v>0.1</v>
      </c>
      <c r="I10" t="s">
        <v>181</v>
      </c>
      <c r="J10" t="s">
        <v>182</v>
      </c>
      <c r="K10">
        <v>12000</v>
      </c>
      <c r="L10">
        <v>10000</v>
      </c>
      <c r="M10" t="s">
        <v>242</v>
      </c>
    </row>
    <row r="11" spans="1:13" x14ac:dyDescent="0.3">
      <c r="A11">
        <v>1009</v>
      </c>
      <c r="B11" s="1">
        <v>44959</v>
      </c>
      <c r="C11" t="s">
        <v>132</v>
      </c>
      <c r="D11">
        <v>600</v>
      </c>
      <c r="E11" t="s">
        <v>133</v>
      </c>
      <c r="F11" t="s">
        <v>33</v>
      </c>
      <c r="G11">
        <v>1</v>
      </c>
      <c r="H11">
        <v>0</v>
      </c>
      <c r="I11" t="s">
        <v>185</v>
      </c>
      <c r="J11" t="s">
        <v>158</v>
      </c>
      <c r="K11">
        <v>30000</v>
      </c>
      <c r="L11">
        <v>29400</v>
      </c>
      <c r="M11" t="s">
        <v>244</v>
      </c>
    </row>
    <row r="12" spans="1:13" x14ac:dyDescent="0.3">
      <c r="A12">
        <v>1010</v>
      </c>
      <c r="B12" s="1">
        <v>44962</v>
      </c>
      <c r="C12" t="s">
        <v>134</v>
      </c>
      <c r="D12">
        <v>150</v>
      </c>
      <c r="E12" t="s">
        <v>135</v>
      </c>
      <c r="F12" t="s">
        <v>36</v>
      </c>
      <c r="G12">
        <v>1</v>
      </c>
      <c r="H12">
        <v>0.05</v>
      </c>
      <c r="I12" t="s">
        <v>188</v>
      </c>
      <c r="J12" t="s">
        <v>158</v>
      </c>
      <c r="K12">
        <v>2500</v>
      </c>
      <c r="L12">
        <v>2225</v>
      </c>
      <c r="M12" t="s">
        <v>244</v>
      </c>
    </row>
    <row r="13" spans="1:13" x14ac:dyDescent="0.3">
      <c r="A13">
        <v>1011</v>
      </c>
      <c r="B13" s="1">
        <v>44967</v>
      </c>
      <c r="C13" t="s">
        <v>139</v>
      </c>
      <c r="D13">
        <v>350</v>
      </c>
      <c r="E13" t="s">
        <v>133</v>
      </c>
      <c r="F13" t="s">
        <v>39</v>
      </c>
      <c r="G13">
        <v>1</v>
      </c>
      <c r="H13">
        <v>0</v>
      </c>
      <c r="I13" t="s">
        <v>191</v>
      </c>
      <c r="J13" t="s">
        <v>158</v>
      </c>
      <c r="K13">
        <v>1200</v>
      </c>
      <c r="L13">
        <v>850</v>
      </c>
      <c r="M13" t="s">
        <v>244</v>
      </c>
    </row>
    <row r="14" spans="1:13" x14ac:dyDescent="0.3">
      <c r="A14">
        <v>1012</v>
      </c>
      <c r="B14" s="1">
        <v>44972</v>
      </c>
      <c r="C14" t="s">
        <v>140</v>
      </c>
      <c r="D14">
        <v>1200</v>
      </c>
      <c r="E14" t="s">
        <v>133</v>
      </c>
      <c r="F14" t="s">
        <v>42</v>
      </c>
      <c r="G14">
        <v>2</v>
      </c>
      <c r="H14">
        <v>0.15</v>
      </c>
      <c r="I14" t="s">
        <v>193</v>
      </c>
      <c r="J14" t="s">
        <v>189</v>
      </c>
      <c r="K14">
        <v>3500</v>
      </c>
      <c r="L14">
        <v>4750</v>
      </c>
      <c r="M14" t="s">
        <v>244</v>
      </c>
    </row>
    <row r="15" spans="1:13" x14ac:dyDescent="0.3">
      <c r="A15">
        <v>1013</v>
      </c>
      <c r="B15" s="1">
        <v>44977</v>
      </c>
      <c r="C15" t="s">
        <v>132</v>
      </c>
      <c r="D15">
        <v>180</v>
      </c>
      <c r="E15" t="s">
        <v>135</v>
      </c>
      <c r="F15" t="s">
        <v>45</v>
      </c>
      <c r="G15">
        <v>1</v>
      </c>
      <c r="H15">
        <v>0.1</v>
      </c>
      <c r="I15" t="s">
        <v>196</v>
      </c>
      <c r="J15" t="s">
        <v>189</v>
      </c>
      <c r="K15">
        <v>8900</v>
      </c>
      <c r="L15">
        <v>7830</v>
      </c>
      <c r="M15" t="s">
        <v>244</v>
      </c>
    </row>
    <row r="16" spans="1:13" x14ac:dyDescent="0.3">
      <c r="A16">
        <v>1014</v>
      </c>
      <c r="B16" s="1">
        <v>44982</v>
      </c>
      <c r="C16" t="s">
        <v>138</v>
      </c>
      <c r="D16">
        <v>700</v>
      </c>
      <c r="E16" t="s">
        <v>133</v>
      </c>
      <c r="F16" t="s">
        <v>48</v>
      </c>
      <c r="G16">
        <v>1</v>
      </c>
      <c r="H16">
        <v>0</v>
      </c>
      <c r="I16" t="s">
        <v>198</v>
      </c>
      <c r="J16" t="s">
        <v>158</v>
      </c>
      <c r="K16">
        <v>15000</v>
      </c>
      <c r="L16">
        <v>14300</v>
      </c>
      <c r="M16" t="s">
        <v>244</v>
      </c>
    </row>
    <row r="17" spans="1:13" x14ac:dyDescent="0.3">
      <c r="A17">
        <v>1015</v>
      </c>
      <c r="B17" s="1">
        <v>44986</v>
      </c>
      <c r="C17" t="s">
        <v>136</v>
      </c>
      <c r="D17">
        <v>220</v>
      </c>
      <c r="E17" t="s">
        <v>133</v>
      </c>
      <c r="F17" t="s">
        <v>51</v>
      </c>
      <c r="G17">
        <v>1</v>
      </c>
      <c r="H17">
        <v>0.05</v>
      </c>
      <c r="I17" t="s">
        <v>201</v>
      </c>
      <c r="J17" t="s">
        <v>158</v>
      </c>
      <c r="K17">
        <v>6700</v>
      </c>
      <c r="L17">
        <v>6145</v>
      </c>
      <c r="M17" t="s">
        <v>245</v>
      </c>
    </row>
    <row r="18" spans="1:13" x14ac:dyDescent="0.3">
      <c r="A18">
        <v>1016</v>
      </c>
      <c r="B18" s="1">
        <v>44990</v>
      </c>
      <c r="C18" t="s">
        <v>134</v>
      </c>
      <c r="D18">
        <v>320</v>
      </c>
      <c r="E18" t="s">
        <v>135</v>
      </c>
      <c r="F18" t="s">
        <v>54</v>
      </c>
      <c r="G18">
        <v>1</v>
      </c>
      <c r="H18">
        <v>0</v>
      </c>
      <c r="I18" t="s">
        <v>204</v>
      </c>
      <c r="J18" t="s">
        <v>158</v>
      </c>
      <c r="K18">
        <v>4500</v>
      </c>
      <c r="L18">
        <v>4180</v>
      </c>
      <c r="M18" t="s">
        <v>245</v>
      </c>
    </row>
    <row r="19" spans="1:13" x14ac:dyDescent="0.3">
      <c r="A19">
        <v>1017</v>
      </c>
      <c r="B19" s="1">
        <v>44995</v>
      </c>
      <c r="C19" t="s">
        <v>137</v>
      </c>
      <c r="D19">
        <v>280</v>
      </c>
      <c r="E19" t="s">
        <v>133</v>
      </c>
      <c r="F19" t="s">
        <v>57</v>
      </c>
      <c r="G19">
        <v>3</v>
      </c>
      <c r="H19">
        <v>0.2</v>
      </c>
      <c r="I19" t="s">
        <v>206</v>
      </c>
      <c r="J19" t="s">
        <v>172</v>
      </c>
      <c r="K19">
        <v>2200</v>
      </c>
      <c r="L19">
        <v>5000</v>
      </c>
      <c r="M19" t="s">
        <v>245</v>
      </c>
    </row>
    <row r="20" spans="1:13" x14ac:dyDescent="0.3">
      <c r="A20">
        <v>1018</v>
      </c>
      <c r="B20" s="1">
        <v>45000</v>
      </c>
      <c r="C20" t="s">
        <v>132</v>
      </c>
      <c r="D20">
        <v>550</v>
      </c>
      <c r="E20" t="s">
        <v>133</v>
      </c>
      <c r="F20" t="s">
        <v>60</v>
      </c>
      <c r="G20">
        <v>1</v>
      </c>
      <c r="H20">
        <v>0</v>
      </c>
      <c r="I20" t="s">
        <v>209</v>
      </c>
      <c r="J20" t="s">
        <v>189</v>
      </c>
      <c r="K20">
        <v>1300</v>
      </c>
      <c r="L20">
        <v>750</v>
      </c>
      <c r="M20" t="s">
        <v>245</v>
      </c>
    </row>
    <row r="21" spans="1:13" x14ac:dyDescent="0.3">
      <c r="A21">
        <v>1019</v>
      </c>
      <c r="B21" s="1">
        <v>45005</v>
      </c>
      <c r="C21" t="s">
        <v>139</v>
      </c>
      <c r="D21">
        <v>380</v>
      </c>
      <c r="E21" t="s">
        <v>133</v>
      </c>
      <c r="F21" t="s">
        <v>63</v>
      </c>
      <c r="G21">
        <v>1</v>
      </c>
      <c r="H21">
        <v>0.1</v>
      </c>
      <c r="I21" t="s">
        <v>211</v>
      </c>
      <c r="J21" t="s">
        <v>158</v>
      </c>
      <c r="K21">
        <v>2800</v>
      </c>
      <c r="L21">
        <v>2140</v>
      </c>
      <c r="M21" t="s">
        <v>245</v>
      </c>
    </row>
    <row r="22" spans="1:13" x14ac:dyDescent="0.3">
      <c r="A22">
        <v>1020</v>
      </c>
      <c r="B22" s="1">
        <v>45010</v>
      </c>
      <c r="C22" t="s">
        <v>140</v>
      </c>
      <c r="D22">
        <v>950</v>
      </c>
      <c r="E22" t="s">
        <v>135</v>
      </c>
      <c r="F22" t="s">
        <v>66</v>
      </c>
      <c r="G22">
        <v>1</v>
      </c>
      <c r="H22">
        <v>0.05</v>
      </c>
      <c r="I22" t="s">
        <v>213</v>
      </c>
      <c r="J22" t="s">
        <v>158</v>
      </c>
      <c r="K22">
        <v>3200</v>
      </c>
      <c r="L22">
        <v>2090</v>
      </c>
      <c r="M22" t="s">
        <v>245</v>
      </c>
    </row>
    <row r="23" spans="1:13" x14ac:dyDescent="0.3">
      <c r="A23">
        <v>1021</v>
      </c>
      <c r="B23" s="1">
        <v>45017</v>
      </c>
      <c r="C23" t="s">
        <v>138</v>
      </c>
      <c r="D23">
        <v>420</v>
      </c>
      <c r="E23" t="s">
        <v>133</v>
      </c>
      <c r="F23" t="s">
        <v>69</v>
      </c>
      <c r="G23">
        <v>1</v>
      </c>
      <c r="H23">
        <v>0</v>
      </c>
      <c r="I23" t="s">
        <v>216</v>
      </c>
      <c r="J23" t="s">
        <v>158</v>
      </c>
      <c r="K23">
        <v>8900</v>
      </c>
      <c r="L23">
        <v>8480</v>
      </c>
      <c r="M23" t="s">
        <v>243</v>
      </c>
    </row>
    <row r="24" spans="1:13" x14ac:dyDescent="0.3">
      <c r="A24">
        <v>1022</v>
      </c>
      <c r="B24" s="1">
        <v>45021</v>
      </c>
      <c r="C24" t="s">
        <v>136</v>
      </c>
      <c r="D24">
        <v>190</v>
      </c>
      <c r="E24" t="s">
        <v>133</v>
      </c>
      <c r="F24" t="s">
        <v>72</v>
      </c>
      <c r="G24">
        <v>1</v>
      </c>
      <c r="H24">
        <v>0.15</v>
      </c>
      <c r="I24" t="s">
        <v>218</v>
      </c>
      <c r="J24" t="s">
        <v>158</v>
      </c>
      <c r="K24">
        <v>3800</v>
      </c>
      <c r="L24">
        <v>3040</v>
      </c>
      <c r="M24" t="s">
        <v>243</v>
      </c>
    </row>
    <row r="25" spans="1:13" x14ac:dyDescent="0.3">
      <c r="A25">
        <v>1023</v>
      </c>
      <c r="B25" s="1">
        <v>45026</v>
      </c>
      <c r="C25" t="s">
        <v>134</v>
      </c>
      <c r="D25">
        <v>310</v>
      </c>
      <c r="E25" t="s">
        <v>133</v>
      </c>
      <c r="F25" t="s">
        <v>75</v>
      </c>
      <c r="G25">
        <v>1</v>
      </c>
      <c r="H25">
        <v>0</v>
      </c>
      <c r="I25" t="s">
        <v>220</v>
      </c>
      <c r="J25" t="s">
        <v>158</v>
      </c>
      <c r="K25">
        <v>2900</v>
      </c>
      <c r="L25">
        <v>2590</v>
      </c>
      <c r="M25" t="s">
        <v>243</v>
      </c>
    </row>
    <row r="26" spans="1:13" x14ac:dyDescent="0.3">
      <c r="A26">
        <v>1024</v>
      </c>
      <c r="B26" s="1">
        <v>45031</v>
      </c>
      <c r="C26" t="s">
        <v>137</v>
      </c>
      <c r="D26">
        <v>260</v>
      </c>
      <c r="E26" t="s">
        <v>135</v>
      </c>
      <c r="F26" t="s">
        <v>78</v>
      </c>
      <c r="G26">
        <v>1</v>
      </c>
      <c r="H26">
        <v>0.1</v>
      </c>
      <c r="I26" t="s">
        <v>222</v>
      </c>
      <c r="J26" t="s">
        <v>158</v>
      </c>
      <c r="K26">
        <v>3400</v>
      </c>
      <c r="L26">
        <v>2800</v>
      </c>
      <c r="M26" t="s">
        <v>243</v>
      </c>
    </row>
    <row r="27" spans="1:13" x14ac:dyDescent="0.3">
      <c r="A27">
        <v>1025</v>
      </c>
      <c r="B27" s="1">
        <v>45036</v>
      </c>
      <c r="C27" t="s">
        <v>132</v>
      </c>
      <c r="D27">
        <v>580</v>
      </c>
      <c r="E27" t="s">
        <v>133</v>
      </c>
      <c r="F27" t="s">
        <v>81</v>
      </c>
      <c r="G27">
        <v>1</v>
      </c>
      <c r="H27">
        <v>0.05</v>
      </c>
      <c r="I27" t="s">
        <v>223</v>
      </c>
      <c r="J27" t="s">
        <v>158</v>
      </c>
      <c r="K27">
        <v>5600</v>
      </c>
      <c r="L27">
        <v>4740</v>
      </c>
      <c r="M27" t="s">
        <v>243</v>
      </c>
    </row>
    <row r="28" spans="1:13" x14ac:dyDescent="0.3">
      <c r="A28">
        <v>1027</v>
      </c>
      <c r="B28" s="1">
        <v>45047</v>
      </c>
      <c r="C28" t="s">
        <v>140</v>
      </c>
      <c r="D28">
        <v>1100</v>
      </c>
      <c r="E28" t="s">
        <v>133</v>
      </c>
      <c r="F28" t="s">
        <v>87</v>
      </c>
      <c r="G28">
        <v>1</v>
      </c>
      <c r="H28">
        <v>0.1</v>
      </c>
      <c r="I28" t="s">
        <v>161</v>
      </c>
      <c r="J28" t="s">
        <v>158</v>
      </c>
      <c r="K28">
        <v>45000</v>
      </c>
      <c r="L28">
        <v>39400</v>
      </c>
      <c r="M28" t="s">
        <v>246</v>
      </c>
    </row>
    <row r="29" spans="1:13" x14ac:dyDescent="0.3">
      <c r="A29">
        <v>1028</v>
      </c>
      <c r="B29" s="1">
        <v>45051</v>
      </c>
      <c r="C29" t="s">
        <v>138</v>
      </c>
      <c r="D29">
        <v>470</v>
      </c>
      <c r="E29" t="s">
        <v>135</v>
      </c>
      <c r="F29" t="s">
        <v>90</v>
      </c>
      <c r="G29">
        <v>2</v>
      </c>
      <c r="H29">
        <v>0</v>
      </c>
      <c r="I29" t="s">
        <v>164</v>
      </c>
      <c r="J29" t="s">
        <v>165</v>
      </c>
      <c r="K29">
        <v>500</v>
      </c>
      <c r="L29">
        <v>530</v>
      </c>
      <c r="M29" t="s">
        <v>246</v>
      </c>
    </row>
    <row r="30" spans="1:13" x14ac:dyDescent="0.3">
      <c r="A30">
        <v>1029</v>
      </c>
      <c r="B30" s="1">
        <v>45056</v>
      </c>
      <c r="C30" t="s">
        <v>136</v>
      </c>
      <c r="D30">
        <v>210</v>
      </c>
      <c r="E30" t="s">
        <v>133</v>
      </c>
      <c r="F30" t="s">
        <v>93</v>
      </c>
      <c r="G30">
        <v>1</v>
      </c>
      <c r="H30">
        <v>0.15</v>
      </c>
      <c r="I30" t="s">
        <v>168</v>
      </c>
      <c r="J30" t="s">
        <v>158</v>
      </c>
      <c r="K30">
        <v>8000</v>
      </c>
      <c r="L30">
        <v>6590</v>
      </c>
      <c r="M30" t="s">
        <v>246</v>
      </c>
    </row>
    <row r="31" spans="1:13" x14ac:dyDescent="0.3">
      <c r="A31">
        <v>1030</v>
      </c>
      <c r="B31" s="1">
        <v>45061</v>
      </c>
      <c r="C31" t="s">
        <v>134</v>
      </c>
      <c r="D31">
        <v>290</v>
      </c>
      <c r="E31" t="s">
        <v>133</v>
      </c>
      <c r="F31" t="s">
        <v>96</v>
      </c>
      <c r="G31">
        <v>3</v>
      </c>
      <c r="H31">
        <v>0</v>
      </c>
      <c r="I31" t="s">
        <v>171</v>
      </c>
      <c r="J31" t="s">
        <v>172</v>
      </c>
      <c r="K31">
        <v>350</v>
      </c>
      <c r="L31">
        <v>760</v>
      </c>
      <c r="M31" t="s">
        <v>246</v>
      </c>
    </row>
    <row r="32" spans="1:13" x14ac:dyDescent="0.3">
      <c r="A32">
        <v>1031</v>
      </c>
      <c r="B32" s="1">
        <v>45066</v>
      </c>
      <c r="C32" t="s">
        <v>137</v>
      </c>
      <c r="D32">
        <v>340</v>
      </c>
      <c r="E32" t="s">
        <v>133</v>
      </c>
      <c r="G32">
        <v>1</v>
      </c>
      <c r="H32">
        <v>0.05</v>
      </c>
      <c r="I32" t="s">
        <v>175</v>
      </c>
      <c r="J32" t="s">
        <v>158</v>
      </c>
      <c r="K32">
        <v>32000</v>
      </c>
      <c r="L32">
        <v>30060</v>
      </c>
      <c r="M32" t="s">
        <v>246</v>
      </c>
    </row>
    <row r="33" spans="1:13" x14ac:dyDescent="0.3">
      <c r="A33">
        <v>1032</v>
      </c>
      <c r="B33" s="1">
        <v>45071</v>
      </c>
      <c r="C33" t="s">
        <v>132</v>
      </c>
      <c r="D33">
        <v>620</v>
      </c>
      <c r="E33" t="s">
        <v>135</v>
      </c>
      <c r="G33">
        <v>1</v>
      </c>
      <c r="H33">
        <v>0.2</v>
      </c>
      <c r="I33" t="s">
        <v>178</v>
      </c>
      <c r="J33" t="s">
        <v>179</v>
      </c>
      <c r="K33">
        <v>1500</v>
      </c>
      <c r="L33">
        <v>580</v>
      </c>
      <c r="M33" t="s">
        <v>246</v>
      </c>
    </row>
    <row r="34" spans="1:13" x14ac:dyDescent="0.3">
      <c r="A34">
        <v>1033</v>
      </c>
      <c r="B34" s="1">
        <v>45078</v>
      </c>
      <c r="C34" t="s">
        <v>139</v>
      </c>
      <c r="D34">
        <v>370</v>
      </c>
      <c r="E34" t="s">
        <v>133</v>
      </c>
      <c r="G34">
        <v>1</v>
      </c>
      <c r="H34">
        <v>0.1</v>
      </c>
      <c r="I34" t="s">
        <v>181</v>
      </c>
      <c r="J34" t="s">
        <v>182</v>
      </c>
      <c r="K34">
        <v>12000</v>
      </c>
      <c r="L34">
        <v>10430</v>
      </c>
      <c r="M34" t="s">
        <v>247</v>
      </c>
    </row>
    <row r="35" spans="1:13" x14ac:dyDescent="0.3">
      <c r="A35">
        <v>1034</v>
      </c>
      <c r="B35" s="1">
        <v>45082</v>
      </c>
      <c r="C35" t="s">
        <v>140</v>
      </c>
      <c r="D35">
        <v>1050</v>
      </c>
      <c r="E35" t="s">
        <v>133</v>
      </c>
      <c r="G35">
        <v>1</v>
      </c>
      <c r="H35">
        <v>0</v>
      </c>
      <c r="I35" t="s">
        <v>185</v>
      </c>
      <c r="J35" t="s">
        <v>158</v>
      </c>
      <c r="K35">
        <v>30000</v>
      </c>
      <c r="L35">
        <v>28950</v>
      </c>
      <c r="M35" t="s">
        <v>247</v>
      </c>
    </row>
    <row r="36" spans="1:13" x14ac:dyDescent="0.3">
      <c r="A36">
        <v>1035</v>
      </c>
      <c r="B36" s="1">
        <v>45087</v>
      </c>
      <c r="C36" t="s">
        <v>138</v>
      </c>
      <c r="D36">
        <v>440</v>
      </c>
      <c r="E36" t="s">
        <v>133</v>
      </c>
      <c r="G36">
        <v>1</v>
      </c>
      <c r="H36">
        <v>0.05</v>
      </c>
      <c r="I36" t="s">
        <v>188</v>
      </c>
      <c r="J36" t="s">
        <v>158</v>
      </c>
      <c r="K36">
        <v>2500</v>
      </c>
      <c r="L36">
        <v>1935</v>
      </c>
      <c r="M36" t="s">
        <v>247</v>
      </c>
    </row>
    <row r="37" spans="1:13" x14ac:dyDescent="0.3">
      <c r="A37">
        <v>1036</v>
      </c>
      <c r="B37" s="1">
        <v>45092</v>
      </c>
      <c r="C37" t="s">
        <v>136</v>
      </c>
      <c r="D37">
        <v>230</v>
      </c>
      <c r="E37" t="s">
        <v>135</v>
      </c>
      <c r="G37">
        <v>2</v>
      </c>
      <c r="H37">
        <v>0</v>
      </c>
      <c r="I37" t="s">
        <v>191</v>
      </c>
      <c r="J37" t="s">
        <v>158</v>
      </c>
      <c r="K37">
        <v>1200</v>
      </c>
      <c r="L37">
        <v>2170</v>
      </c>
      <c r="M37" t="s">
        <v>247</v>
      </c>
    </row>
    <row r="38" spans="1:13" x14ac:dyDescent="0.3">
      <c r="A38">
        <v>1037</v>
      </c>
      <c r="B38" s="1">
        <v>45097</v>
      </c>
      <c r="C38" t="s">
        <v>134</v>
      </c>
      <c r="D38">
        <v>270</v>
      </c>
      <c r="E38" t="s">
        <v>133</v>
      </c>
      <c r="G38">
        <v>1</v>
      </c>
      <c r="H38">
        <v>0.15</v>
      </c>
      <c r="I38" t="s">
        <v>193</v>
      </c>
      <c r="J38" t="s">
        <v>189</v>
      </c>
      <c r="K38">
        <v>3500</v>
      </c>
      <c r="L38">
        <v>2705</v>
      </c>
      <c r="M38" t="s">
        <v>247</v>
      </c>
    </row>
    <row r="39" spans="1:13" x14ac:dyDescent="0.3">
      <c r="A39">
        <v>1038</v>
      </c>
      <c r="B39" s="1">
        <v>45102</v>
      </c>
      <c r="C39" t="s">
        <v>137</v>
      </c>
      <c r="D39">
        <v>390</v>
      </c>
      <c r="E39" t="s">
        <v>133</v>
      </c>
      <c r="G39">
        <v>1</v>
      </c>
      <c r="H39">
        <v>0.1</v>
      </c>
      <c r="I39" t="s">
        <v>196</v>
      </c>
      <c r="J39" t="s">
        <v>189</v>
      </c>
      <c r="K39">
        <v>8900</v>
      </c>
      <c r="L39">
        <v>7620</v>
      </c>
      <c r="M39" t="s">
        <v>247</v>
      </c>
    </row>
    <row r="40" spans="1:13" x14ac:dyDescent="0.3">
      <c r="A40">
        <v>1039</v>
      </c>
      <c r="B40" s="1">
        <v>45108</v>
      </c>
      <c r="C40" t="s">
        <v>132</v>
      </c>
      <c r="D40">
        <v>650</v>
      </c>
      <c r="E40" t="s">
        <v>133</v>
      </c>
      <c r="G40">
        <v>1</v>
      </c>
      <c r="H40">
        <v>0</v>
      </c>
      <c r="I40" t="s">
        <v>198</v>
      </c>
      <c r="J40" t="s">
        <v>158</v>
      </c>
      <c r="K40">
        <v>15000</v>
      </c>
      <c r="L40">
        <v>14350</v>
      </c>
      <c r="M40" t="s">
        <v>248</v>
      </c>
    </row>
    <row r="41" spans="1:13" x14ac:dyDescent="0.3">
      <c r="A41">
        <v>1040</v>
      </c>
      <c r="B41" s="1">
        <v>45112</v>
      </c>
      <c r="C41" t="s">
        <v>139</v>
      </c>
      <c r="D41">
        <v>410</v>
      </c>
      <c r="E41" t="s">
        <v>135</v>
      </c>
      <c r="G41">
        <v>1</v>
      </c>
      <c r="H41">
        <v>0.05</v>
      </c>
      <c r="I41" t="s">
        <v>201</v>
      </c>
      <c r="J41" t="s">
        <v>158</v>
      </c>
      <c r="K41">
        <v>6700</v>
      </c>
      <c r="L41">
        <v>5955</v>
      </c>
      <c r="M41" t="s">
        <v>248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E45AF-302A-4ED4-AC31-BB6DFE1B7AF0}">
  <dimension ref="A1:E31"/>
  <sheetViews>
    <sheetView topLeftCell="A5" workbookViewId="0">
      <selection activeCell="B18" sqref="B18"/>
    </sheetView>
  </sheetViews>
  <sheetFormatPr defaultRowHeight="14.4" x14ac:dyDescent="0.3"/>
  <cols>
    <col min="1" max="1" width="13.09765625" bestFit="1" customWidth="1"/>
    <col min="2" max="2" width="16.3984375" bestFit="1" customWidth="1"/>
    <col min="3" max="3" width="18.8984375" bestFit="1" customWidth="1"/>
    <col min="4" max="4" width="10.3984375" bestFit="1" customWidth="1"/>
    <col min="5" max="5" width="19.29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s="1">
        <v>44635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s="1">
        <v>44703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 s="1">
        <v>44936</v>
      </c>
      <c r="E4" t="s">
        <v>16</v>
      </c>
    </row>
    <row r="5" spans="1:5" x14ac:dyDescent="0.3">
      <c r="A5" t="s">
        <v>17</v>
      </c>
      <c r="B5" t="s">
        <v>18</v>
      </c>
      <c r="C5" t="s">
        <v>7</v>
      </c>
      <c r="D5" s="1">
        <v>44505</v>
      </c>
      <c r="E5" t="s">
        <v>19</v>
      </c>
    </row>
    <row r="6" spans="1:5" x14ac:dyDescent="0.3">
      <c r="A6" t="s">
        <v>20</v>
      </c>
      <c r="B6" t="s">
        <v>21</v>
      </c>
      <c r="C6" t="s">
        <v>11</v>
      </c>
      <c r="D6" s="1">
        <v>44760</v>
      </c>
      <c r="E6" t="s">
        <v>22</v>
      </c>
    </row>
    <row r="7" spans="1:5" x14ac:dyDescent="0.3">
      <c r="A7" t="s">
        <v>23</v>
      </c>
      <c r="B7" t="s">
        <v>24</v>
      </c>
      <c r="C7" t="s">
        <v>7</v>
      </c>
      <c r="D7" s="1">
        <v>44834</v>
      </c>
      <c r="E7" t="s">
        <v>25</v>
      </c>
    </row>
    <row r="8" spans="1:5" x14ac:dyDescent="0.3">
      <c r="A8" t="s">
        <v>26</v>
      </c>
      <c r="B8" t="s">
        <v>27</v>
      </c>
      <c r="C8" t="s">
        <v>15</v>
      </c>
      <c r="D8" s="1">
        <v>44969</v>
      </c>
      <c r="E8" t="s">
        <v>28</v>
      </c>
    </row>
    <row r="9" spans="1:5" x14ac:dyDescent="0.3">
      <c r="A9" t="s">
        <v>29</v>
      </c>
      <c r="B9" t="s">
        <v>30</v>
      </c>
      <c r="C9" t="s">
        <v>11</v>
      </c>
      <c r="D9" s="1">
        <v>44676</v>
      </c>
      <c r="E9" t="s">
        <v>31</v>
      </c>
    </row>
    <row r="10" spans="1:5" x14ac:dyDescent="0.3">
      <c r="A10" t="s">
        <v>32</v>
      </c>
      <c r="B10" t="s">
        <v>33</v>
      </c>
      <c r="C10" t="s">
        <v>7</v>
      </c>
      <c r="D10" s="1">
        <v>44538</v>
      </c>
      <c r="E10" t="s">
        <v>34</v>
      </c>
    </row>
    <row r="11" spans="1:5" x14ac:dyDescent="0.3">
      <c r="A11" t="s">
        <v>35</v>
      </c>
      <c r="B11" t="s">
        <v>36</v>
      </c>
      <c r="C11" t="s">
        <v>11</v>
      </c>
      <c r="D11" s="1">
        <v>44726</v>
      </c>
      <c r="E11" t="s">
        <v>37</v>
      </c>
    </row>
    <row r="12" spans="1:5" x14ac:dyDescent="0.3">
      <c r="A12" t="s">
        <v>38</v>
      </c>
      <c r="B12" t="s">
        <v>39</v>
      </c>
      <c r="C12" t="s">
        <v>15</v>
      </c>
      <c r="D12" s="1">
        <v>45005</v>
      </c>
      <c r="E12" t="s">
        <v>40</v>
      </c>
    </row>
    <row r="13" spans="1:5" x14ac:dyDescent="0.3">
      <c r="A13" t="s">
        <v>41</v>
      </c>
      <c r="B13" t="s">
        <v>42</v>
      </c>
      <c r="C13" t="s">
        <v>11</v>
      </c>
      <c r="D13" s="1">
        <v>44776</v>
      </c>
      <c r="E13" t="s">
        <v>43</v>
      </c>
    </row>
    <row r="14" spans="1:5" x14ac:dyDescent="0.3">
      <c r="A14" t="s">
        <v>44</v>
      </c>
      <c r="B14" t="s">
        <v>45</v>
      </c>
      <c r="C14" t="s">
        <v>7</v>
      </c>
      <c r="D14" s="1">
        <v>44480</v>
      </c>
      <c r="E14" t="s">
        <v>46</v>
      </c>
    </row>
    <row r="15" spans="1:5" x14ac:dyDescent="0.3">
      <c r="A15" t="s">
        <v>47</v>
      </c>
      <c r="B15" t="s">
        <v>48</v>
      </c>
      <c r="C15" t="s">
        <v>11</v>
      </c>
      <c r="D15" s="1">
        <v>44708</v>
      </c>
      <c r="E15" t="s">
        <v>49</v>
      </c>
    </row>
    <row r="16" spans="1:5" x14ac:dyDescent="0.3">
      <c r="A16" t="s">
        <v>50</v>
      </c>
      <c r="B16" t="s">
        <v>51</v>
      </c>
      <c r="C16" t="s">
        <v>15</v>
      </c>
      <c r="D16" s="1">
        <v>44931</v>
      </c>
      <c r="E16" t="s">
        <v>52</v>
      </c>
    </row>
    <row r="17" spans="1:5" x14ac:dyDescent="0.3">
      <c r="A17" t="s">
        <v>53</v>
      </c>
      <c r="B17" t="s">
        <v>54</v>
      </c>
      <c r="C17" t="s">
        <v>7</v>
      </c>
      <c r="D17" s="1">
        <v>44823</v>
      </c>
      <c r="E17" t="s">
        <v>55</v>
      </c>
    </row>
    <row r="18" spans="1:5" x14ac:dyDescent="0.3">
      <c r="A18" t="s">
        <v>56</v>
      </c>
      <c r="B18" t="s">
        <v>57</v>
      </c>
      <c r="C18" t="s">
        <v>11</v>
      </c>
      <c r="D18" s="1">
        <v>44764</v>
      </c>
      <c r="E18" t="s">
        <v>58</v>
      </c>
    </row>
    <row r="19" spans="1:5" x14ac:dyDescent="0.3">
      <c r="A19" t="s">
        <v>59</v>
      </c>
      <c r="B19" t="s">
        <v>60</v>
      </c>
      <c r="C19" t="s">
        <v>15</v>
      </c>
      <c r="D19" s="1">
        <v>44972</v>
      </c>
      <c r="E19" t="s">
        <v>61</v>
      </c>
    </row>
    <row r="20" spans="1:5" x14ac:dyDescent="0.3">
      <c r="A20" t="s">
        <v>62</v>
      </c>
      <c r="B20" t="s">
        <v>63</v>
      </c>
      <c r="C20" t="s">
        <v>7</v>
      </c>
      <c r="D20" s="1">
        <v>44507</v>
      </c>
      <c r="E20" t="s">
        <v>64</v>
      </c>
    </row>
    <row r="21" spans="1:5" x14ac:dyDescent="0.3">
      <c r="A21" t="s">
        <v>65</v>
      </c>
      <c r="B21" t="s">
        <v>66</v>
      </c>
      <c r="C21" t="s">
        <v>11</v>
      </c>
      <c r="D21" s="1">
        <v>44742</v>
      </c>
      <c r="E21" t="s">
        <v>67</v>
      </c>
    </row>
    <row r="22" spans="1:5" x14ac:dyDescent="0.3">
      <c r="A22" t="s">
        <v>68</v>
      </c>
      <c r="B22" t="s">
        <v>69</v>
      </c>
      <c r="C22" t="s">
        <v>15</v>
      </c>
      <c r="D22" s="1">
        <v>44995</v>
      </c>
      <c r="E22" t="s">
        <v>70</v>
      </c>
    </row>
    <row r="23" spans="1:5" x14ac:dyDescent="0.3">
      <c r="A23" t="s">
        <v>71</v>
      </c>
      <c r="B23" t="s">
        <v>72</v>
      </c>
      <c r="C23" t="s">
        <v>7</v>
      </c>
      <c r="D23" s="1">
        <v>44542</v>
      </c>
      <c r="E23" t="s">
        <v>73</v>
      </c>
    </row>
    <row r="24" spans="1:5" x14ac:dyDescent="0.3">
      <c r="A24" t="s">
        <v>74</v>
      </c>
      <c r="B24" t="s">
        <v>75</v>
      </c>
      <c r="C24" t="s">
        <v>11</v>
      </c>
      <c r="D24" s="1">
        <v>44798</v>
      </c>
      <c r="E24" t="s">
        <v>76</v>
      </c>
    </row>
    <row r="25" spans="1:5" x14ac:dyDescent="0.3">
      <c r="A25" t="s">
        <v>77</v>
      </c>
      <c r="B25" t="s">
        <v>78</v>
      </c>
      <c r="C25" t="s">
        <v>15</v>
      </c>
      <c r="D25" s="1">
        <v>44944</v>
      </c>
      <c r="E25" t="s">
        <v>79</v>
      </c>
    </row>
    <row r="26" spans="1:5" x14ac:dyDescent="0.3">
      <c r="A26" t="s">
        <v>80</v>
      </c>
      <c r="B26" t="s">
        <v>81</v>
      </c>
      <c r="C26" t="s">
        <v>7</v>
      </c>
      <c r="D26" s="1">
        <v>44843</v>
      </c>
      <c r="E26" t="s">
        <v>82</v>
      </c>
    </row>
    <row r="27" spans="1:5" x14ac:dyDescent="0.3">
      <c r="A27" t="s">
        <v>83</v>
      </c>
      <c r="B27" t="s">
        <v>84</v>
      </c>
      <c r="C27" t="s">
        <v>11</v>
      </c>
      <c r="D27" s="1">
        <v>44763</v>
      </c>
      <c r="E27" t="s">
        <v>85</v>
      </c>
    </row>
    <row r="28" spans="1:5" x14ac:dyDescent="0.3">
      <c r="A28" t="s">
        <v>86</v>
      </c>
      <c r="B28" t="s">
        <v>87</v>
      </c>
      <c r="C28" t="s">
        <v>15</v>
      </c>
      <c r="D28" s="1">
        <v>44962</v>
      </c>
      <c r="E28" t="s">
        <v>88</v>
      </c>
    </row>
    <row r="29" spans="1:5" x14ac:dyDescent="0.3">
      <c r="A29" t="s">
        <v>89</v>
      </c>
      <c r="B29" t="s">
        <v>90</v>
      </c>
      <c r="C29" t="s">
        <v>7</v>
      </c>
      <c r="D29" s="1">
        <v>44514</v>
      </c>
      <c r="E29" t="s">
        <v>91</v>
      </c>
    </row>
    <row r="30" spans="1:5" x14ac:dyDescent="0.3">
      <c r="A30" t="s">
        <v>92</v>
      </c>
      <c r="B30" t="s">
        <v>93</v>
      </c>
      <c r="C30" t="s">
        <v>11</v>
      </c>
      <c r="D30" s="1">
        <v>44832</v>
      </c>
      <c r="E30" t="s">
        <v>94</v>
      </c>
    </row>
    <row r="31" spans="1:5" x14ac:dyDescent="0.3">
      <c r="A31" t="s">
        <v>95</v>
      </c>
      <c r="B31" t="s">
        <v>96</v>
      </c>
      <c r="C31" t="s">
        <v>15</v>
      </c>
      <c r="D31" s="1">
        <v>45036</v>
      </c>
      <c r="E31" t="s">
        <v>97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C28A-08C9-42F0-B108-49F494E4B38B}">
  <dimension ref="A1:D41"/>
  <sheetViews>
    <sheetView workbookViewId="0">
      <selection activeCell="D45" sqref="D45"/>
    </sheetView>
  </sheetViews>
  <sheetFormatPr defaultRowHeight="14.4" x14ac:dyDescent="0.3"/>
  <cols>
    <col min="1" max="1" width="9.796875" bestFit="1" customWidth="1"/>
    <col min="2" max="2" width="11.69921875" bestFit="1" customWidth="1"/>
    <col min="3" max="4" width="10.59765625" bestFit="1" customWidth="1"/>
  </cols>
  <sheetData>
    <row r="1" spans="1:4" x14ac:dyDescent="0.3">
      <c r="A1" t="s">
        <v>98</v>
      </c>
      <c r="B1" t="s">
        <v>99</v>
      </c>
      <c r="C1" t="s">
        <v>100</v>
      </c>
      <c r="D1" t="s">
        <v>101</v>
      </c>
    </row>
    <row r="2" spans="1:4" x14ac:dyDescent="0.3">
      <c r="A2">
        <v>1001</v>
      </c>
      <c r="B2" t="s">
        <v>102</v>
      </c>
      <c r="C2">
        <v>1</v>
      </c>
      <c r="D2">
        <v>0.05</v>
      </c>
    </row>
    <row r="3" spans="1:4" x14ac:dyDescent="0.3">
      <c r="A3">
        <v>1002</v>
      </c>
      <c r="B3" t="s">
        <v>103</v>
      </c>
      <c r="C3">
        <v>2</v>
      </c>
      <c r="D3">
        <v>0.1</v>
      </c>
    </row>
    <row r="4" spans="1:4" x14ac:dyDescent="0.3">
      <c r="A4">
        <v>1003</v>
      </c>
      <c r="B4" t="s">
        <v>104</v>
      </c>
      <c r="C4">
        <v>3</v>
      </c>
      <c r="D4">
        <v>0</v>
      </c>
    </row>
    <row r="5" spans="1:4" x14ac:dyDescent="0.3">
      <c r="A5">
        <v>1004</v>
      </c>
      <c r="B5" t="s">
        <v>105</v>
      </c>
      <c r="C5">
        <v>1</v>
      </c>
      <c r="D5">
        <v>0.15</v>
      </c>
    </row>
    <row r="6" spans="1:4" x14ac:dyDescent="0.3">
      <c r="A6">
        <v>1005</v>
      </c>
      <c r="B6" t="s">
        <v>106</v>
      </c>
      <c r="C6">
        <v>5</v>
      </c>
      <c r="D6">
        <v>0</v>
      </c>
    </row>
    <row r="7" spans="1:4" x14ac:dyDescent="0.3">
      <c r="A7">
        <v>1006</v>
      </c>
      <c r="B7" t="s">
        <v>107</v>
      </c>
      <c r="C7">
        <v>1</v>
      </c>
      <c r="D7">
        <v>0.05</v>
      </c>
    </row>
    <row r="8" spans="1:4" x14ac:dyDescent="0.3">
      <c r="A8">
        <v>1007</v>
      </c>
      <c r="B8" t="s">
        <v>108</v>
      </c>
      <c r="C8">
        <v>2</v>
      </c>
      <c r="D8">
        <v>0.2</v>
      </c>
    </row>
    <row r="9" spans="1:4" x14ac:dyDescent="0.3">
      <c r="A9">
        <v>1008</v>
      </c>
      <c r="B9" t="s">
        <v>109</v>
      </c>
      <c r="C9">
        <v>1</v>
      </c>
      <c r="D9">
        <v>0.1</v>
      </c>
    </row>
    <row r="10" spans="1:4" x14ac:dyDescent="0.3">
      <c r="A10">
        <v>1009</v>
      </c>
      <c r="B10" t="s">
        <v>110</v>
      </c>
      <c r="C10">
        <v>1</v>
      </c>
      <c r="D10">
        <v>0</v>
      </c>
    </row>
    <row r="11" spans="1:4" x14ac:dyDescent="0.3">
      <c r="A11">
        <v>1010</v>
      </c>
      <c r="B11" t="s">
        <v>111</v>
      </c>
      <c r="C11">
        <v>1</v>
      </c>
      <c r="D11">
        <v>0.05</v>
      </c>
    </row>
    <row r="12" spans="1:4" x14ac:dyDescent="0.3">
      <c r="A12">
        <v>1011</v>
      </c>
      <c r="B12" t="s">
        <v>112</v>
      </c>
      <c r="C12">
        <v>1</v>
      </c>
      <c r="D12">
        <v>0</v>
      </c>
    </row>
    <row r="13" spans="1:4" x14ac:dyDescent="0.3">
      <c r="A13">
        <v>1012</v>
      </c>
      <c r="B13" t="s">
        <v>113</v>
      </c>
      <c r="C13">
        <v>2</v>
      </c>
      <c r="D13">
        <v>0.15</v>
      </c>
    </row>
    <row r="14" spans="1:4" x14ac:dyDescent="0.3">
      <c r="A14">
        <v>1013</v>
      </c>
      <c r="B14" t="s">
        <v>114</v>
      </c>
      <c r="C14">
        <v>1</v>
      </c>
      <c r="D14">
        <v>0.1</v>
      </c>
    </row>
    <row r="15" spans="1:4" x14ac:dyDescent="0.3">
      <c r="A15">
        <v>1014</v>
      </c>
      <c r="B15" t="s">
        <v>115</v>
      </c>
      <c r="C15">
        <v>1</v>
      </c>
      <c r="D15">
        <v>0</v>
      </c>
    </row>
    <row r="16" spans="1:4" x14ac:dyDescent="0.3">
      <c r="A16">
        <v>1015</v>
      </c>
      <c r="B16" t="s">
        <v>116</v>
      </c>
      <c r="C16">
        <v>1</v>
      </c>
      <c r="D16">
        <v>0.05</v>
      </c>
    </row>
    <row r="17" spans="1:4" x14ac:dyDescent="0.3">
      <c r="A17">
        <v>1016</v>
      </c>
      <c r="B17" t="s">
        <v>117</v>
      </c>
      <c r="C17">
        <v>1</v>
      </c>
      <c r="D17">
        <v>0</v>
      </c>
    </row>
    <row r="18" spans="1:4" x14ac:dyDescent="0.3">
      <c r="A18">
        <v>1017</v>
      </c>
      <c r="B18" t="s">
        <v>118</v>
      </c>
      <c r="C18">
        <v>3</v>
      </c>
      <c r="D18">
        <v>0.2</v>
      </c>
    </row>
    <row r="19" spans="1:4" x14ac:dyDescent="0.3">
      <c r="A19">
        <v>1018</v>
      </c>
      <c r="B19" t="s">
        <v>119</v>
      </c>
      <c r="C19">
        <v>1</v>
      </c>
      <c r="D19">
        <v>0</v>
      </c>
    </row>
    <row r="20" spans="1:4" x14ac:dyDescent="0.3">
      <c r="A20">
        <v>1019</v>
      </c>
      <c r="B20" t="s">
        <v>120</v>
      </c>
      <c r="C20">
        <v>1</v>
      </c>
      <c r="D20">
        <v>0.1</v>
      </c>
    </row>
    <row r="21" spans="1:4" x14ac:dyDescent="0.3">
      <c r="A21">
        <v>1020</v>
      </c>
      <c r="B21" t="s">
        <v>121</v>
      </c>
      <c r="C21">
        <v>1</v>
      </c>
      <c r="D21">
        <v>0.05</v>
      </c>
    </row>
    <row r="22" spans="1:4" x14ac:dyDescent="0.3">
      <c r="A22">
        <v>1021</v>
      </c>
      <c r="B22" t="s">
        <v>122</v>
      </c>
      <c r="C22">
        <v>1</v>
      </c>
      <c r="D22">
        <v>0</v>
      </c>
    </row>
    <row r="23" spans="1:4" x14ac:dyDescent="0.3">
      <c r="A23">
        <v>1022</v>
      </c>
      <c r="B23" t="s">
        <v>123</v>
      </c>
      <c r="C23">
        <v>1</v>
      </c>
      <c r="D23">
        <v>0.15</v>
      </c>
    </row>
    <row r="24" spans="1:4" x14ac:dyDescent="0.3">
      <c r="A24">
        <v>1023</v>
      </c>
      <c r="B24" t="s">
        <v>124</v>
      </c>
      <c r="C24">
        <v>1</v>
      </c>
      <c r="D24">
        <v>0</v>
      </c>
    </row>
    <row r="25" spans="1:4" x14ac:dyDescent="0.3">
      <c r="A25">
        <v>1024</v>
      </c>
      <c r="B25" t="s">
        <v>125</v>
      </c>
      <c r="C25">
        <v>1</v>
      </c>
      <c r="D25">
        <v>0.1</v>
      </c>
    </row>
    <row r="26" spans="1:4" x14ac:dyDescent="0.3">
      <c r="A26">
        <v>1025</v>
      </c>
      <c r="B26" t="s">
        <v>126</v>
      </c>
      <c r="C26">
        <v>1</v>
      </c>
      <c r="D26">
        <v>0.05</v>
      </c>
    </row>
    <row r="27" spans="1:4" x14ac:dyDescent="0.3">
      <c r="A27">
        <v>1026</v>
      </c>
      <c r="B27" t="s">
        <v>102</v>
      </c>
      <c r="C27">
        <v>1</v>
      </c>
      <c r="D27">
        <v>0</v>
      </c>
    </row>
    <row r="28" spans="1:4" x14ac:dyDescent="0.3">
      <c r="A28">
        <v>1027</v>
      </c>
      <c r="B28" t="s">
        <v>103</v>
      </c>
      <c r="C28">
        <v>1</v>
      </c>
      <c r="D28">
        <v>0.1</v>
      </c>
    </row>
    <row r="29" spans="1:4" x14ac:dyDescent="0.3">
      <c r="A29">
        <v>1028</v>
      </c>
      <c r="B29" t="s">
        <v>104</v>
      </c>
      <c r="C29">
        <v>2</v>
      </c>
      <c r="D29">
        <v>0</v>
      </c>
    </row>
    <row r="30" spans="1:4" x14ac:dyDescent="0.3">
      <c r="A30">
        <v>1029</v>
      </c>
      <c r="B30" t="s">
        <v>105</v>
      </c>
      <c r="C30">
        <v>1</v>
      </c>
      <c r="D30">
        <v>0.15</v>
      </c>
    </row>
    <row r="31" spans="1:4" x14ac:dyDescent="0.3">
      <c r="A31">
        <v>1030</v>
      </c>
      <c r="B31" t="s">
        <v>106</v>
      </c>
      <c r="C31">
        <v>3</v>
      </c>
      <c r="D31">
        <v>0</v>
      </c>
    </row>
    <row r="32" spans="1:4" x14ac:dyDescent="0.3">
      <c r="A32">
        <v>1031</v>
      </c>
      <c r="B32" t="s">
        <v>107</v>
      </c>
      <c r="C32">
        <v>1</v>
      </c>
      <c r="D32">
        <v>0.05</v>
      </c>
    </row>
    <row r="33" spans="1:4" x14ac:dyDescent="0.3">
      <c r="A33">
        <v>1032</v>
      </c>
      <c r="B33" t="s">
        <v>108</v>
      </c>
      <c r="C33">
        <v>1</v>
      </c>
      <c r="D33">
        <v>0.2</v>
      </c>
    </row>
    <row r="34" spans="1:4" x14ac:dyDescent="0.3">
      <c r="A34">
        <v>1033</v>
      </c>
      <c r="B34" t="s">
        <v>109</v>
      </c>
      <c r="C34">
        <v>1</v>
      </c>
      <c r="D34">
        <v>0.1</v>
      </c>
    </row>
    <row r="35" spans="1:4" x14ac:dyDescent="0.3">
      <c r="A35">
        <v>1034</v>
      </c>
      <c r="B35" t="s">
        <v>110</v>
      </c>
      <c r="C35">
        <v>1</v>
      </c>
      <c r="D35">
        <v>0</v>
      </c>
    </row>
    <row r="36" spans="1:4" x14ac:dyDescent="0.3">
      <c r="A36">
        <v>1035</v>
      </c>
      <c r="B36" t="s">
        <v>111</v>
      </c>
      <c r="C36">
        <v>1</v>
      </c>
      <c r="D36">
        <v>0.05</v>
      </c>
    </row>
    <row r="37" spans="1:4" x14ac:dyDescent="0.3">
      <c r="A37">
        <v>1036</v>
      </c>
      <c r="B37" t="s">
        <v>112</v>
      </c>
      <c r="C37">
        <v>2</v>
      </c>
      <c r="D37">
        <v>0</v>
      </c>
    </row>
    <row r="38" spans="1:4" x14ac:dyDescent="0.3">
      <c r="A38">
        <v>1037</v>
      </c>
      <c r="B38" t="s">
        <v>113</v>
      </c>
      <c r="C38">
        <v>1</v>
      </c>
      <c r="D38">
        <v>0.15</v>
      </c>
    </row>
    <row r="39" spans="1:4" x14ac:dyDescent="0.3">
      <c r="A39">
        <v>1038</v>
      </c>
      <c r="B39" t="s">
        <v>114</v>
      </c>
      <c r="C39">
        <v>1</v>
      </c>
      <c r="D39">
        <v>0.1</v>
      </c>
    </row>
    <row r="40" spans="1:4" x14ac:dyDescent="0.3">
      <c r="A40">
        <v>1039</v>
      </c>
      <c r="B40" t="s">
        <v>115</v>
      </c>
      <c r="C40">
        <v>1</v>
      </c>
      <c r="D40">
        <v>0</v>
      </c>
    </row>
    <row r="41" spans="1:4" x14ac:dyDescent="0.3">
      <c r="A41">
        <v>1040</v>
      </c>
      <c r="B41" t="s">
        <v>116</v>
      </c>
      <c r="C41">
        <v>1</v>
      </c>
      <c r="D41">
        <v>0.05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7C36A-1F32-420F-A803-70180F5BA384}">
  <dimension ref="A1:G41"/>
  <sheetViews>
    <sheetView workbookViewId="0">
      <selection activeCell="F22" sqref="F22"/>
    </sheetView>
  </sheetViews>
  <sheetFormatPr defaultRowHeight="14.4" x14ac:dyDescent="0.3"/>
  <cols>
    <col min="1" max="1" width="9.796875" bestFit="1" customWidth="1"/>
    <col min="2" max="2" width="11.8984375" bestFit="1" customWidth="1"/>
    <col min="3" max="3" width="13.09765625" bestFit="1" customWidth="1"/>
    <col min="4" max="5" width="15.296875" bestFit="1" customWidth="1"/>
    <col min="6" max="6" width="13.69921875" bestFit="1" customWidth="1"/>
    <col min="7" max="7" width="11" bestFit="1" customWidth="1"/>
  </cols>
  <sheetData>
    <row r="1" spans="1:7" x14ac:dyDescent="0.3">
      <c r="A1" t="s">
        <v>98</v>
      </c>
      <c r="B1" t="s">
        <v>127</v>
      </c>
      <c r="C1" t="s">
        <v>0</v>
      </c>
      <c r="D1" t="s">
        <v>128</v>
      </c>
      <c r="E1" t="s">
        <v>129</v>
      </c>
      <c r="F1" t="s">
        <v>130</v>
      </c>
      <c r="G1" t="s">
        <v>131</v>
      </c>
    </row>
    <row r="2" spans="1:7" x14ac:dyDescent="0.3">
      <c r="A2">
        <v>1001</v>
      </c>
      <c r="B2" s="1">
        <v>44931</v>
      </c>
      <c r="C2" t="s">
        <v>5</v>
      </c>
      <c r="D2" t="s">
        <v>132</v>
      </c>
      <c r="E2" t="s">
        <v>132</v>
      </c>
      <c r="F2">
        <v>500</v>
      </c>
      <c r="G2" t="s">
        <v>133</v>
      </c>
    </row>
    <row r="3" spans="1:7" x14ac:dyDescent="0.3">
      <c r="A3">
        <v>1002</v>
      </c>
      <c r="B3" s="1">
        <v>44933</v>
      </c>
      <c r="C3" t="s">
        <v>9</v>
      </c>
      <c r="D3" t="s">
        <v>134</v>
      </c>
      <c r="E3" t="s">
        <v>134</v>
      </c>
      <c r="F3">
        <v>300</v>
      </c>
      <c r="G3" t="s">
        <v>135</v>
      </c>
    </row>
    <row r="4" spans="1:7" x14ac:dyDescent="0.3">
      <c r="A4">
        <v>1003</v>
      </c>
      <c r="B4" s="1">
        <v>44936</v>
      </c>
      <c r="C4" t="s">
        <v>13</v>
      </c>
      <c r="D4" t="s">
        <v>136</v>
      </c>
      <c r="E4" t="s">
        <v>136</v>
      </c>
      <c r="F4">
        <v>200</v>
      </c>
      <c r="G4" t="s">
        <v>133</v>
      </c>
    </row>
    <row r="5" spans="1:7" x14ac:dyDescent="0.3">
      <c r="A5">
        <v>1004</v>
      </c>
      <c r="B5" s="1">
        <v>44938</v>
      </c>
      <c r="C5" t="s">
        <v>17</v>
      </c>
      <c r="D5" t="s">
        <v>132</v>
      </c>
      <c r="E5" t="s">
        <v>132</v>
      </c>
      <c r="F5">
        <v>250</v>
      </c>
      <c r="G5" t="s">
        <v>133</v>
      </c>
    </row>
    <row r="6" spans="1:7" x14ac:dyDescent="0.3">
      <c r="A6">
        <v>1005</v>
      </c>
      <c r="B6" s="1">
        <v>44941</v>
      </c>
      <c r="C6" t="s">
        <v>20</v>
      </c>
      <c r="D6" t="s">
        <v>137</v>
      </c>
      <c r="E6" t="s">
        <v>137</v>
      </c>
      <c r="F6">
        <v>150</v>
      </c>
      <c r="G6" t="s">
        <v>133</v>
      </c>
    </row>
    <row r="7" spans="1:7" x14ac:dyDescent="0.3">
      <c r="A7">
        <v>1006</v>
      </c>
      <c r="B7" s="1">
        <v>44946</v>
      </c>
      <c r="C7" t="s">
        <v>23</v>
      </c>
      <c r="D7" t="s">
        <v>137</v>
      </c>
      <c r="E7" t="s">
        <v>137</v>
      </c>
      <c r="F7">
        <v>400</v>
      </c>
      <c r="G7" t="s">
        <v>135</v>
      </c>
    </row>
    <row r="8" spans="1:7" x14ac:dyDescent="0.3">
      <c r="A8">
        <v>1007</v>
      </c>
      <c r="B8" s="1">
        <v>44951</v>
      </c>
      <c r="C8" t="s">
        <v>26</v>
      </c>
      <c r="D8" t="s">
        <v>132</v>
      </c>
      <c r="E8" t="s">
        <v>132</v>
      </c>
      <c r="F8">
        <v>200</v>
      </c>
      <c r="G8" t="s">
        <v>133</v>
      </c>
    </row>
    <row r="9" spans="1:7" x14ac:dyDescent="0.3">
      <c r="A9">
        <v>1008</v>
      </c>
      <c r="B9" s="1">
        <v>44956</v>
      </c>
      <c r="C9" t="s">
        <v>29</v>
      </c>
      <c r="D9" t="s">
        <v>138</v>
      </c>
      <c r="E9" t="s">
        <v>138</v>
      </c>
      <c r="F9">
        <v>800</v>
      </c>
      <c r="G9" t="s">
        <v>133</v>
      </c>
    </row>
    <row r="10" spans="1:7" x14ac:dyDescent="0.3">
      <c r="A10">
        <v>1009</v>
      </c>
      <c r="B10" s="1">
        <v>44959</v>
      </c>
      <c r="C10" t="s">
        <v>32</v>
      </c>
      <c r="D10" t="s">
        <v>132</v>
      </c>
      <c r="E10" t="s">
        <v>132</v>
      </c>
      <c r="F10">
        <v>600</v>
      </c>
      <c r="G10" t="s">
        <v>133</v>
      </c>
    </row>
    <row r="11" spans="1:7" x14ac:dyDescent="0.3">
      <c r="A11">
        <v>1010</v>
      </c>
      <c r="B11" s="1">
        <v>44962</v>
      </c>
      <c r="C11" t="s">
        <v>35</v>
      </c>
      <c r="D11" t="s">
        <v>134</v>
      </c>
      <c r="E11" t="s">
        <v>134</v>
      </c>
      <c r="F11">
        <v>150</v>
      </c>
      <c r="G11" t="s">
        <v>135</v>
      </c>
    </row>
    <row r="12" spans="1:7" x14ac:dyDescent="0.3">
      <c r="A12">
        <v>1011</v>
      </c>
      <c r="B12" s="1">
        <v>44967</v>
      </c>
      <c r="C12" t="s">
        <v>38</v>
      </c>
      <c r="D12" t="s">
        <v>139</v>
      </c>
      <c r="E12" t="s">
        <v>139</v>
      </c>
      <c r="F12">
        <v>350</v>
      </c>
      <c r="G12" t="s">
        <v>133</v>
      </c>
    </row>
    <row r="13" spans="1:7" x14ac:dyDescent="0.3">
      <c r="A13">
        <v>1012</v>
      </c>
      <c r="B13" s="1">
        <v>44972</v>
      </c>
      <c r="C13" t="s">
        <v>41</v>
      </c>
      <c r="D13" t="s">
        <v>140</v>
      </c>
      <c r="E13" t="s">
        <v>140</v>
      </c>
      <c r="F13">
        <v>1200</v>
      </c>
      <c r="G13" t="s">
        <v>133</v>
      </c>
    </row>
    <row r="14" spans="1:7" x14ac:dyDescent="0.3">
      <c r="A14">
        <v>1013</v>
      </c>
      <c r="B14" s="1">
        <v>44977</v>
      </c>
      <c r="C14" t="s">
        <v>44</v>
      </c>
      <c r="D14" t="s">
        <v>132</v>
      </c>
      <c r="E14" t="s">
        <v>132</v>
      </c>
      <c r="F14">
        <v>180</v>
      </c>
      <c r="G14" t="s">
        <v>135</v>
      </c>
    </row>
    <row r="15" spans="1:7" x14ac:dyDescent="0.3">
      <c r="A15">
        <v>1014</v>
      </c>
      <c r="B15" s="1">
        <v>44982</v>
      </c>
      <c r="C15" t="s">
        <v>47</v>
      </c>
      <c r="D15" t="s">
        <v>138</v>
      </c>
      <c r="E15" t="s">
        <v>138</v>
      </c>
      <c r="F15">
        <v>700</v>
      </c>
      <c r="G15" t="s">
        <v>133</v>
      </c>
    </row>
    <row r="16" spans="1:7" x14ac:dyDescent="0.3">
      <c r="A16">
        <v>1015</v>
      </c>
      <c r="B16" s="1">
        <v>44986</v>
      </c>
      <c r="C16" t="s">
        <v>50</v>
      </c>
      <c r="D16" t="s">
        <v>136</v>
      </c>
      <c r="E16" t="s">
        <v>136</v>
      </c>
      <c r="F16">
        <v>220</v>
      </c>
      <c r="G16" t="s">
        <v>133</v>
      </c>
    </row>
    <row r="17" spans="1:7" x14ac:dyDescent="0.3">
      <c r="A17">
        <v>1016</v>
      </c>
      <c r="B17" s="1">
        <v>44990</v>
      </c>
      <c r="C17" t="s">
        <v>53</v>
      </c>
      <c r="D17" t="s">
        <v>134</v>
      </c>
      <c r="E17" t="s">
        <v>134</v>
      </c>
      <c r="F17">
        <v>320</v>
      </c>
      <c r="G17" t="s">
        <v>135</v>
      </c>
    </row>
    <row r="18" spans="1:7" x14ac:dyDescent="0.3">
      <c r="A18">
        <v>1017</v>
      </c>
      <c r="B18" s="1">
        <v>44995</v>
      </c>
      <c r="C18" t="s">
        <v>56</v>
      </c>
      <c r="D18" t="s">
        <v>137</v>
      </c>
      <c r="E18" t="s">
        <v>137</v>
      </c>
      <c r="F18">
        <v>280</v>
      </c>
      <c r="G18" t="s">
        <v>133</v>
      </c>
    </row>
    <row r="19" spans="1:7" x14ac:dyDescent="0.3">
      <c r="A19">
        <v>1018</v>
      </c>
      <c r="B19" s="1">
        <v>45000</v>
      </c>
      <c r="C19" t="s">
        <v>59</v>
      </c>
      <c r="D19" t="s">
        <v>132</v>
      </c>
      <c r="E19" t="s">
        <v>132</v>
      </c>
      <c r="F19">
        <v>550</v>
      </c>
      <c r="G19" t="s">
        <v>133</v>
      </c>
    </row>
    <row r="20" spans="1:7" x14ac:dyDescent="0.3">
      <c r="A20">
        <v>1019</v>
      </c>
      <c r="B20" s="1">
        <v>45005</v>
      </c>
      <c r="C20" t="s">
        <v>62</v>
      </c>
      <c r="D20" t="s">
        <v>139</v>
      </c>
      <c r="E20" t="s">
        <v>139</v>
      </c>
      <c r="F20">
        <v>380</v>
      </c>
      <c r="G20" t="s">
        <v>133</v>
      </c>
    </row>
    <row r="21" spans="1:7" x14ac:dyDescent="0.3">
      <c r="A21">
        <v>1020</v>
      </c>
      <c r="B21" s="1">
        <v>45010</v>
      </c>
      <c r="C21" t="s">
        <v>65</v>
      </c>
      <c r="D21" t="s">
        <v>140</v>
      </c>
      <c r="E21" t="s">
        <v>140</v>
      </c>
      <c r="F21">
        <v>950</v>
      </c>
      <c r="G21" t="s">
        <v>135</v>
      </c>
    </row>
    <row r="22" spans="1:7" x14ac:dyDescent="0.3">
      <c r="A22">
        <v>1021</v>
      </c>
      <c r="B22" s="1">
        <v>45017</v>
      </c>
      <c r="C22" t="s">
        <v>68</v>
      </c>
      <c r="D22" t="s">
        <v>138</v>
      </c>
      <c r="E22" t="s">
        <v>138</v>
      </c>
      <c r="F22">
        <v>420</v>
      </c>
      <c r="G22" t="s">
        <v>133</v>
      </c>
    </row>
    <row r="23" spans="1:7" x14ac:dyDescent="0.3">
      <c r="A23">
        <v>1022</v>
      </c>
      <c r="B23" s="1">
        <v>45021</v>
      </c>
      <c r="C23" t="s">
        <v>71</v>
      </c>
      <c r="D23" t="s">
        <v>136</v>
      </c>
      <c r="E23" t="s">
        <v>136</v>
      </c>
      <c r="F23">
        <v>190</v>
      </c>
      <c r="G23" t="s">
        <v>133</v>
      </c>
    </row>
    <row r="24" spans="1:7" x14ac:dyDescent="0.3">
      <c r="A24">
        <v>1023</v>
      </c>
      <c r="B24" s="1">
        <v>45026</v>
      </c>
      <c r="C24" t="s">
        <v>74</v>
      </c>
      <c r="D24" t="s">
        <v>134</v>
      </c>
      <c r="E24" t="s">
        <v>134</v>
      </c>
      <c r="F24">
        <v>310</v>
      </c>
      <c r="G24" t="s">
        <v>133</v>
      </c>
    </row>
    <row r="25" spans="1:7" x14ac:dyDescent="0.3">
      <c r="A25">
        <v>1024</v>
      </c>
      <c r="B25" s="1">
        <v>45031</v>
      </c>
      <c r="C25" t="s">
        <v>77</v>
      </c>
      <c r="D25" t="s">
        <v>137</v>
      </c>
      <c r="E25" t="s">
        <v>137</v>
      </c>
      <c r="F25">
        <v>260</v>
      </c>
      <c r="G25" t="s">
        <v>135</v>
      </c>
    </row>
    <row r="26" spans="1:7" x14ac:dyDescent="0.3">
      <c r="A26">
        <v>1025</v>
      </c>
      <c r="B26" s="1">
        <v>45036</v>
      </c>
      <c r="C26" t="s">
        <v>80</v>
      </c>
      <c r="D26" t="s">
        <v>132</v>
      </c>
      <c r="E26" t="s">
        <v>132</v>
      </c>
      <c r="F26">
        <v>580</v>
      </c>
      <c r="G26" t="s">
        <v>133</v>
      </c>
    </row>
    <row r="27" spans="1:7" x14ac:dyDescent="0.3">
      <c r="A27">
        <v>1026</v>
      </c>
      <c r="B27" s="1">
        <v>45041</v>
      </c>
      <c r="C27" t="s">
        <v>83</v>
      </c>
      <c r="D27" t="s">
        <v>139</v>
      </c>
      <c r="E27" t="s">
        <v>139</v>
      </c>
      <c r="F27">
        <v>330</v>
      </c>
      <c r="G27" t="s">
        <v>133</v>
      </c>
    </row>
    <row r="28" spans="1:7" x14ac:dyDescent="0.3">
      <c r="A28">
        <v>1027</v>
      </c>
      <c r="B28" s="1">
        <v>45047</v>
      </c>
      <c r="C28" t="s">
        <v>86</v>
      </c>
      <c r="D28" t="s">
        <v>140</v>
      </c>
      <c r="E28" t="s">
        <v>140</v>
      </c>
      <c r="F28">
        <v>1100</v>
      </c>
      <c r="G28" t="s">
        <v>133</v>
      </c>
    </row>
    <row r="29" spans="1:7" x14ac:dyDescent="0.3">
      <c r="A29">
        <v>1028</v>
      </c>
      <c r="B29" s="1">
        <v>45051</v>
      </c>
      <c r="C29" t="s">
        <v>89</v>
      </c>
      <c r="D29" t="s">
        <v>138</v>
      </c>
      <c r="E29" t="s">
        <v>138</v>
      </c>
      <c r="F29">
        <v>470</v>
      </c>
      <c r="G29" t="s">
        <v>135</v>
      </c>
    </row>
    <row r="30" spans="1:7" x14ac:dyDescent="0.3">
      <c r="A30">
        <v>1029</v>
      </c>
      <c r="B30" s="1">
        <v>45056</v>
      </c>
      <c r="C30" t="s">
        <v>92</v>
      </c>
      <c r="D30" t="s">
        <v>136</v>
      </c>
      <c r="E30" t="s">
        <v>136</v>
      </c>
      <c r="F30">
        <v>210</v>
      </c>
      <c r="G30" t="s">
        <v>133</v>
      </c>
    </row>
    <row r="31" spans="1:7" x14ac:dyDescent="0.3">
      <c r="A31">
        <v>1030</v>
      </c>
      <c r="B31" s="1">
        <v>45061</v>
      </c>
      <c r="C31" t="s">
        <v>95</v>
      </c>
      <c r="D31" t="s">
        <v>134</v>
      </c>
      <c r="E31" t="s">
        <v>134</v>
      </c>
      <c r="F31">
        <v>290</v>
      </c>
      <c r="G31" t="s">
        <v>133</v>
      </c>
    </row>
    <row r="32" spans="1:7" x14ac:dyDescent="0.3">
      <c r="A32">
        <v>1031</v>
      </c>
      <c r="B32" s="1">
        <v>45066</v>
      </c>
      <c r="C32" t="s">
        <v>141</v>
      </c>
      <c r="D32" t="s">
        <v>137</v>
      </c>
      <c r="E32" t="s">
        <v>137</v>
      </c>
      <c r="F32">
        <v>340</v>
      </c>
      <c r="G32" t="s">
        <v>133</v>
      </c>
    </row>
    <row r="33" spans="1:7" x14ac:dyDescent="0.3">
      <c r="A33">
        <v>1032</v>
      </c>
      <c r="B33" s="1">
        <v>45071</v>
      </c>
      <c r="C33" t="s">
        <v>142</v>
      </c>
      <c r="D33" t="s">
        <v>132</v>
      </c>
      <c r="E33" t="s">
        <v>132</v>
      </c>
      <c r="F33">
        <v>620</v>
      </c>
      <c r="G33" t="s">
        <v>135</v>
      </c>
    </row>
    <row r="34" spans="1:7" x14ac:dyDescent="0.3">
      <c r="A34">
        <v>1033</v>
      </c>
      <c r="B34" s="1">
        <v>45078</v>
      </c>
      <c r="C34" t="s">
        <v>143</v>
      </c>
      <c r="D34" t="s">
        <v>139</v>
      </c>
      <c r="E34" t="s">
        <v>139</v>
      </c>
      <c r="F34">
        <v>370</v>
      </c>
      <c r="G34" t="s">
        <v>133</v>
      </c>
    </row>
    <row r="35" spans="1:7" x14ac:dyDescent="0.3">
      <c r="A35">
        <v>1034</v>
      </c>
      <c r="B35" s="1">
        <v>45082</v>
      </c>
      <c r="C35" t="s">
        <v>144</v>
      </c>
      <c r="D35" t="s">
        <v>140</v>
      </c>
      <c r="E35" t="s">
        <v>140</v>
      </c>
      <c r="F35">
        <v>1050</v>
      </c>
      <c r="G35" t="s">
        <v>133</v>
      </c>
    </row>
    <row r="36" spans="1:7" x14ac:dyDescent="0.3">
      <c r="A36">
        <v>1035</v>
      </c>
      <c r="B36" s="1">
        <v>45087</v>
      </c>
      <c r="C36" t="s">
        <v>145</v>
      </c>
      <c r="D36" t="s">
        <v>138</v>
      </c>
      <c r="E36" t="s">
        <v>138</v>
      </c>
      <c r="F36">
        <v>440</v>
      </c>
      <c r="G36" t="s">
        <v>133</v>
      </c>
    </row>
    <row r="37" spans="1:7" x14ac:dyDescent="0.3">
      <c r="A37">
        <v>1036</v>
      </c>
      <c r="B37" s="1">
        <v>45092</v>
      </c>
      <c r="C37" t="s">
        <v>146</v>
      </c>
      <c r="D37" t="s">
        <v>136</v>
      </c>
      <c r="E37" t="s">
        <v>136</v>
      </c>
      <c r="F37">
        <v>230</v>
      </c>
      <c r="G37" t="s">
        <v>135</v>
      </c>
    </row>
    <row r="38" spans="1:7" x14ac:dyDescent="0.3">
      <c r="A38">
        <v>1037</v>
      </c>
      <c r="B38" s="1">
        <v>45097</v>
      </c>
      <c r="C38" t="s">
        <v>147</v>
      </c>
      <c r="D38" t="s">
        <v>134</v>
      </c>
      <c r="E38" t="s">
        <v>134</v>
      </c>
      <c r="F38">
        <v>270</v>
      </c>
      <c r="G38" t="s">
        <v>133</v>
      </c>
    </row>
    <row r="39" spans="1:7" x14ac:dyDescent="0.3">
      <c r="A39">
        <v>1038</v>
      </c>
      <c r="B39" s="1">
        <v>45102</v>
      </c>
      <c r="C39" t="s">
        <v>148</v>
      </c>
      <c r="D39" t="s">
        <v>137</v>
      </c>
      <c r="E39" t="s">
        <v>137</v>
      </c>
      <c r="F39">
        <v>390</v>
      </c>
      <c r="G39" t="s">
        <v>133</v>
      </c>
    </row>
    <row r="40" spans="1:7" x14ac:dyDescent="0.3">
      <c r="A40">
        <v>1039</v>
      </c>
      <c r="B40" s="1">
        <v>45108</v>
      </c>
      <c r="C40" t="s">
        <v>149</v>
      </c>
      <c r="D40" t="s">
        <v>132</v>
      </c>
      <c r="E40" t="s">
        <v>132</v>
      </c>
      <c r="F40">
        <v>650</v>
      </c>
      <c r="G40" t="s">
        <v>133</v>
      </c>
    </row>
    <row r="41" spans="1:7" x14ac:dyDescent="0.3">
      <c r="A41">
        <v>1040</v>
      </c>
      <c r="B41" s="1">
        <v>45112</v>
      </c>
      <c r="C41" t="s">
        <v>150</v>
      </c>
      <c r="D41" t="s">
        <v>139</v>
      </c>
      <c r="E41" t="s">
        <v>139</v>
      </c>
      <c r="F41">
        <v>410</v>
      </c>
      <c r="G41" t="s">
        <v>135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0852-888D-454A-AFFA-C2E63DD1D9E0}">
  <dimension ref="A1:G26"/>
  <sheetViews>
    <sheetView workbookViewId="0">
      <selection activeCell="G20" sqref="G20"/>
    </sheetView>
  </sheetViews>
  <sheetFormatPr defaultRowHeight="14.4" x14ac:dyDescent="0.3"/>
  <cols>
    <col min="1" max="1" width="11.69921875" bestFit="1" customWidth="1"/>
    <col min="2" max="2" width="10.8984375" bestFit="1" customWidth="1"/>
    <col min="3" max="3" width="16.09765625" bestFit="1" customWidth="1"/>
    <col min="4" max="4" width="15.796875" bestFit="1" customWidth="1"/>
    <col min="5" max="5" width="7.296875" bestFit="1" customWidth="1"/>
    <col min="6" max="6" width="9.19921875" bestFit="1" customWidth="1"/>
    <col min="7" max="7" width="9.59765625" bestFit="1" customWidth="1"/>
  </cols>
  <sheetData>
    <row r="1" spans="1:7" x14ac:dyDescent="0.3">
      <c r="A1" t="s">
        <v>99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</row>
    <row r="2" spans="1:7" x14ac:dyDescent="0.3">
      <c r="A2" t="s">
        <v>102</v>
      </c>
      <c r="B2" t="s">
        <v>157</v>
      </c>
      <c r="C2" t="s">
        <v>158</v>
      </c>
      <c r="D2" t="s">
        <v>159</v>
      </c>
      <c r="E2">
        <v>75000</v>
      </c>
      <c r="F2" t="s">
        <v>160</v>
      </c>
      <c r="G2" t="s">
        <v>135</v>
      </c>
    </row>
    <row r="3" spans="1:7" x14ac:dyDescent="0.3">
      <c r="A3" t="s">
        <v>103</v>
      </c>
      <c r="B3" t="s">
        <v>161</v>
      </c>
      <c r="C3" t="s">
        <v>158</v>
      </c>
      <c r="D3" t="s">
        <v>162</v>
      </c>
      <c r="E3">
        <v>45000</v>
      </c>
      <c r="F3" t="s">
        <v>163</v>
      </c>
      <c r="G3" t="s">
        <v>135</v>
      </c>
    </row>
    <row r="4" spans="1:7" x14ac:dyDescent="0.3">
      <c r="A4" t="s">
        <v>104</v>
      </c>
      <c r="B4" t="s">
        <v>164</v>
      </c>
      <c r="C4" t="s">
        <v>165</v>
      </c>
      <c r="D4" t="s">
        <v>166</v>
      </c>
      <c r="E4">
        <v>500</v>
      </c>
      <c r="F4" t="s">
        <v>167</v>
      </c>
      <c r="G4" t="s">
        <v>135</v>
      </c>
    </row>
    <row r="5" spans="1:7" x14ac:dyDescent="0.3">
      <c r="A5" t="s">
        <v>105</v>
      </c>
      <c r="B5" t="s">
        <v>168</v>
      </c>
      <c r="C5" t="s">
        <v>158</v>
      </c>
      <c r="D5" t="s">
        <v>169</v>
      </c>
      <c r="E5">
        <v>8000</v>
      </c>
      <c r="F5" t="s">
        <v>170</v>
      </c>
      <c r="G5" t="s">
        <v>133</v>
      </c>
    </row>
    <row r="6" spans="1:7" x14ac:dyDescent="0.3">
      <c r="A6" t="s">
        <v>106</v>
      </c>
      <c r="B6" t="s">
        <v>171</v>
      </c>
      <c r="C6" t="s">
        <v>172</v>
      </c>
      <c r="D6" t="s">
        <v>173</v>
      </c>
      <c r="E6">
        <v>350</v>
      </c>
      <c r="F6" t="s">
        <v>174</v>
      </c>
      <c r="G6" t="s">
        <v>135</v>
      </c>
    </row>
    <row r="7" spans="1:7" x14ac:dyDescent="0.3">
      <c r="A7" t="s">
        <v>107</v>
      </c>
      <c r="B7" t="s">
        <v>175</v>
      </c>
      <c r="C7" t="s">
        <v>158</v>
      </c>
      <c r="D7" t="s">
        <v>176</v>
      </c>
      <c r="E7">
        <v>32000</v>
      </c>
      <c r="F7" t="s">
        <v>177</v>
      </c>
      <c r="G7" t="s">
        <v>135</v>
      </c>
    </row>
    <row r="8" spans="1:7" x14ac:dyDescent="0.3">
      <c r="A8" t="s">
        <v>108</v>
      </c>
      <c r="B8" t="s">
        <v>178</v>
      </c>
      <c r="C8" t="s">
        <v>179</v>
      </c>
      <c r="D8" t="s">
        <v>180</v>
      </c>
      <c r="E8">
        <v>1500</v>
      </c>
      <c r="F8" t="s">
        <v>163</v>
      </c>
      <c r="G8" t="s">
        <v>135</v>
      </c>
    </row>
    <row r="9" spans="1:7" x14ac:dyDescent="0.3">
      <c r="A9" t="s">
        <v>109</v>
      </c>
      <c r="B9" t="s">
        <v>181</v>
      </c>
      <c r="C9" t="s">
        <v>182</v>
      </c>
      <c r="D9" t="s">
        <v>183</v>
      </c>
      <c r="E9">
        <v>12000</v>
      </c>
      <c r="F9" t="s">
        <v>184</v>
      </c>
      <c r="G9" t="s">
        <v>135</v>
      </c>
    </row>
    <row r="10" spans="1:7" x14ac:dyDescent="0.3">
      <c r="A10" t="s">
        <v>110</v>
      </c>
      <c r="B10" t="s">
        <v>185</v>
      </c>
      <c r="C10" t="s">
        <v>158</v>
      </c>
      <c r="D10" t="s">
        <v>186</v>
      </c>
      <c r="E10">
        <v>30000</v>
      </c>
      <c r="F10" t="s">
        <v>187</v>
      </c>
      <c r="G10" t="s">
        <v>133</v>
      </c>
    </row>
    <row r="11" spans="1:7" x14ac:dyDescent="0.3">
      <c r="A11" t="s">
        <v>111</v>
      </c>
      <c r="B11" t="s">
        <v>188</v>
      </c>
      <c r="C11" t="s">
        <v>158</v>
      </c>
      <c r="D11" t="s">
        <v>189</v>
      </c>
      <c r="E11">
        <v>2500</v>
      </c>
      <c r="F11" t="s">
        <v>190</v>
      </c>
      <c r="G11" t="s">
        <v>135</v>
      </c>
    </row>
    <row r="12" spans="1:7" x14ac:dyDescent="0.3">
      <c r="A12" t="s">
        <v>112</v>
      </c>
      <c r="B12" t="s">
        <v>191</v>
      </c>
      <c r="C12" t="s">
        <v>158</v>
      </c>
      <c r="D12" t="s">
        <v>189</v>
      </c>
      <c r="E12">
        <v>1200</v>
      </c>
      <c r="F12" t="s">
        <v>192</v>
      </c>
      <c r="G12" t="s">
        <v>135</v>
      </c>
    </row>
    <row r="13" spans="1:7" x14ac:dyDescent="0.3">
      <c r="A13" t="s">
        <v>113</v>
      </c>
      <c r="B13" t="s">
        <v>193</v>
      </c>
      <c r="C13" t="s">
        <v>189</v>
      </c>
      <c r="D13" t="s">
        <v>194</v>
      </c>
      <c r="E13">
        <v>3500</v>
      </c>
      <c r="F13" t="s">
        <v>195</v>
      </c>
      <c r="G13" t="s">
        <v>135</v>
      </c>
    </row>
    <row r="14" spans="1:7" x14ac:dyDescent="0.3">
      <c r="A14" t="s">
        <v>114</v>
      </c>
      <c r="B14" t="s">
        <v>196</v>
      </c>
      <c r="C14" t="s">
        <v>189</v>
      </c>
      <c r="D14" t="s">
        <v>197</v>
      </c>
      <c r="E14">
        <v>8900</v>
      </c>
      <c r="F14" t="s">
        <v>170</v>
      </c>
      <c r="G14" t="s">
        <v>135</v>
      </c>
    </row>
    <row r="15" spans="1:7" x14ac:dyDescent="0.3">
      <c r="A15" t="s">
        <v>115</v>
      </c>
      <c r="B15" t="s">
        <v>198</v>
      </c>
      <c r="C15" t="s">
        <v>158</v>
      </c>
      <c r="D15" t="s">
        <v>199</v>
      </c>
      <c r="E15">
        <v>15000</v>
      </c>
      <c r="F15" t="s">
        <v>200</v>
      </c>
      <c r="G15" t="s">
        <v>133</v>
      </c>
    </row>
    <row r="16" spans="1:7" x14ac:dyDescent="0.3">
      <c r="A16" t="s">
        <v>116</v>
      </c>
      <c r="B16" t="s">
        <v>201</v>
      </c>
      <c r="C16" t="s">
        <v>158</v>
      </c>
      <c r="D16" t="s">
        <v>202</v>
      </c>
      <c r="E16">
        <v>6700</v>
      </c>
      <c r="F16" t="s">
        <v>203</v>
      </c>
      <c r="G16" t="s">
        <v>135</v>
      </c>
    </row>
    <row r="17" spans="1:7" x14ac:dyDescent="0.3">
      <c r="A17" t="s">
        <v>117</v>
      </c>
      <c r="B17" t="s">
        <v>204</v>
      </c>
      <c r="C17" t="s">
        <v>158</v>
      </c>
      <c r="D17" t="s">
        <v>202</v>
      </c>
      <c r="E17">
        <v>4500</v>
      </c>
      <c r="F17" t="s">
        <v>205</v>
      </c>
      <c r="G17" t="s">
        <v>135</v>
      </c>
    </row>
    <row r="18" spans="1:7" x14ac:dyDescent="0.3">
      <c r="A18" t="s">
        <v>118</v>
      </c>
      <c r="B18" t="s">
        <v>206</v>
      </c>
      <c r="C18" t="s">
        <v>172</v>
      </c>
      <c r="D18" t="s">
        <v>207</v>
      </c>
      <c r="E18">
        <v>2200</v>
      </c>
      <c r="F18" t="s">
        <v>208</v>
      </c>
      <c r="G18" t="s">
        <v>135</v>
      </c>
    </row>
    <row r="19" spans="1:7" x14ac:dyDescent="0.3">
      <c r="A19" t="s">
        <v>119</v>
      </c>
      <c r="B19" t="s">
        <v>209</v>
      </c>
      <c r="C19" t="s">
        <v>189</v>
      </c>
      <c r="D19" t="s">
        <v>210</v>
      </c>
      <c r="E19">
        <v>1300</v>
      </c>
      <c r="F19" t="s">
        <v>174</v>
      </c>
      <c r="G19" t="s">
        <v>135</v>
      </c>
    </row>
    <row r="20" spans="1:7" x14ac:dyDescent="0.3">
      <c r="A20" t="s">
        <v>120</v>
      </c>
      <c r="B20" t="s">
        <v>211</v>
      </c>
      <c r="C20" t="s">
        <v>158</v>
      </c>
      <c r="D20" t="s">
        <v>212</v>
      </c>
      <c r="E20">
        <v>2800</v>
      </c>
      <c r="F20" t="s">
        <v>177</v>
      </c>
      <c r="G20" t="s">
        <v>135</v>
      </c>
    </row>
    <row r="21" spans="1:7" x14ac:dyDescent="0.3">
      <c r="A21" t="s">
        <v>121</v>
      </c>
      <c r="B21" t="s">
        <v>213</v>
      </c>
      <c r="C21" t="s">
        <v>158</v>
      </c>
      <c r="D21" t="s">
        <v>214</v>
      </c>
      <c r="E21">
        <v>3200</v>
      </c>
      <c r="F21" t="s">
        <v>215</v>
      </c>
      <c r="G21" t="s">
        <v>133</v>
      </c>
    </row>
    <row r="22" spans="1:7" x14ac:dyDescent="0.3">
      <c r="A22" t="s">
        <v>122</v>
      </c>
      <c r="B22" t="s">
        <v>216</v>
      </c>
      <c r="C22" t="s">
        <v>158</v>
      </c>
      <c r="D22" t="s">
        <v>214</v>
      </c>
      <c r="E22">
        <v>8900</v>
      </c>
      <c r="F22" t="s">
        <v>217</v>
      </c>
      <c r="G22" t="s">
        <v>135</v>
      </c>
    </row>
    <row r="23" spans="1:7" x14ac:dyDescent="0.3">
      <c r="A23" t="s">
        <v>123</v>
      </c>
      <c r="B23" t="s">
        <v>218</v>
      </c>
      <c r="C23" t="s">
        <v>158</v>
      </c>
      <c r="D23" t="s">
        <v>202</v>
      </c>
      <c r="E23">
        <v>3800</v>
      </c>
      <c r="F23" t="s">
        <v>219</v>
      </c>
      <c r="G23" t="s">
        <v>135</v>
      </c>
    </row>
    <row r="24" spans="1:7" x14ac:dyDescent="0.3">
      <c r="A24" t="s">
        <v>124</v>
      </c>
      <c r="B24" t="s">
        <v>220</v>
      </c>
      <c r="C24" t="s">
        <v>158</v>
      </c>
      <c r="D24" t="s">
        <v>202</v>
      </c>
      <c r="E24">
        <v>2900</v>
      </c>
      <c r="F24" t="s">
        <v>221</v>
      </c>
      <c r="G24" t="s">
        <v>135</v>
      </c>
    </row>
    <row r="25" spans="1:7" x14ac:dyDescent="0.3">
      <c r="A25" t="s">
        <v>125</v>
      </c>
      <c r="B25" t="s">
        <v>222</v>
      </c>
      <c r="C25" t="s">
        <v>158</v>
      </c>
      <c r="D25" t="s">
        <v>189</v>
      </c>
      <c r="E25">
        <v>3400</v>
      </c>
      <c r="F25" t="s">
        <v>163</v>
      </c>
      <c r="G25" t="s">
        <v>135</v>
      </c>
    </row>
    <row r="26" spans="1:7" x14ac:dyDescent="0.3">
      <c r="A26" t="s">
        <v>126</v>
      </c>
      <c r="B26" t="s">
        <v>223</v>
      </c>
      <c r="C26" t="s">
        <v>158</v>
      </c>
      <c r="D26" t="s">
        <v>169</v>
      </c>
      <c r="E26">
        <v>5600</v>
      </c>
      <c r="F26" t="s">
        <v>208</v>
      </c>
      <c r="G26" t="s">
        <v>135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F1C8B4-4D3E-4311-9EEF-05F2805B48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Комментарии</vt:lpstr>
      <vt:lpstr>analytics</vt:lpstr>
      <vt:lpstr>new and vip customers</vt:lpstr>
      <vt:lpstr>data_mart</vt:lpstr>
      <vt:lpstr>customers</vt:lpstr>
      <vt:lpstr>orderitems</vt:lpstr>
      <vt:lpstr>orders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Kate Roznova</cp:lastModifiedBy>
  <dcterms:created xsi:type="dcterms:W3CDTF">2026-09-28T11:55:28Z</dcterms:created>
  <dcterms:modified xsi:type="dcterms:W3CDTF">2026-09-29T20:24:16Z</dcterms:modified>
</cp:coreProperties>
</file>